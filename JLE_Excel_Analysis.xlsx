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/Downloads/"/>
    </mc:Choice>
  </mc:AlternateContent>
  <xr:revisionPtr revIDLastSave="0" documentId="8_{37926AF6-36D5-C143-B98F-E99D76244EAA}" xr6:coauthVersionLast="47" xr6:coauthVersionMax="47" xr10:uidLastSave="{00000000-0000-0000-0000-000000000000}"/>
  <bookViews>
    <workbookView xWindow="10260" yWindow="500" windowWidth="18540" windowHeight="16360" activeTab="1" xr2:uid="{2189A8C3-BFA3-7048-91A2-C526ADACC421}"/>
  </bookViews>
  <sheets>
    <sheet name="Team Members" sheetId="4" r:id="rId1"/>
    <sheet name="Defects after Delivery" sheetId="1" r:id="rId2"/>
    <sheet name="Employee Retention" sheetId="2" r:id="rId3"/>
    <sheet name="Engin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C63" i="1"/>
  <c r="C64" i="1"/>
  <c r="C65" i="1"/>
  <c r="C66" i="1"/>
  <c r="C62" i="1"/>
  <c r="AH11" i="1"/>
  <c r="AI11" i="1"/>
  <c r="AJ11" i="1"/>
  <c r="AH12" i="1"/>
  <c r="AI12" i="1"/>
  <c r="AJ12" i="1"/>
  <c r="AH13" i="1"/>
  <c r="AI13" i="1"/>
  <c r="AJ13" i="1"/>
  <c r="AH14" i="1"/>
  <c r="AI14" i="1"/>
  <c r="AJ14" i="1"/>
  <c r="AH15" i="1"/>
  <c r="AI15" i="1"/>
  <c r="AJ15" i="1"/>
  <c r="AH16" i="1"/>
  <c r="AI16" i="1"/>
  <c r="AJ16" i="1"/>
  <c r="AH17" i="1"/>
  <c r="AI17" i="1"/>
  <c r="AJ17" i="1"/>
  <c r="AH18" i="1"/>
  <c r="AI18" i="1"/>
  <c r="AJ18" i="1"/>
  <c r="AH19" i="1"/>
  <c r="AI19" i="1"/>
  <c r="AJ19" i="1"/>
  <c r="AH20" i="1"/>
  <c r="AI20" i="1"/>
  <c r="AJ20" i="1"/>
  <c r="AH21" i="1"/>
  <c r="AI21" i="1"/>
  <c r="AJ21" i="1"/>
  <c r="AH22" i="1"/>
  <c r="AI22" i="1"/>
  <c r="AJ22" i="1"/>
  <c r="AG19" i="1"/>
  <c r="AG20" i="1"/>
  <c r="AG21" i="1"/>
  <c r="AG22" i="1"/>
  <c r="AG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Toby Crackitt</author>
  </authors>
  <commentList>
    <comment ref="C10" authorId="0" shapeId="0" xr:uid="{EE36E223-1F4C-4A7B-8BFE-BB9D1A335E6E}">
      <text>
        <r>
          <rPr>
            <b/>
            <sz val="9"/>
            <color indexed="81"/>
            <rFont val="Tahoma"/>
            <family val="2"/>
          </rPr>
          <t>Toby Crackitt:</t>
        </r>
        <r>
          <rPr>
            <sz val="9"/>
            <color indexed="81"/>
            <rFont val="Tahoma"/>
            <family val="2"/>
          </rPr>
          <t xml:space="preserve">
Initiative implemented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780F81-A0DF-4F3A-9D87-CAB7E5B5479B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<sst xmlns="http://schemas.openxmlformats.org/spreadsheetml/2006/main" count="125" uniqueCount="81">
  <si>
    <t>Defects per million items received from suppliers</t>
  </si>
  <si>
    <t>Month</t>
  </si>
  <si>
    <t>Problems:</t>
  </si>
  <si>
    <t>January</t>
  </si>
  <si>
    <t>(1) Predict what might have happened had the supplier initiative not been implemented, and:</t>
  </si>
  <si>
    <t>February</t>
  </si>
  <si>
    <t>(2) How the number of defects might further be reduced in the near future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</si>
  <si>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</si>
  <si>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</si>
  <si>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</si>
  <si>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</si>
  <si>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</si>
  <si>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</si>
  <si>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</si>
  <si>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</si>
  <si>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</si>
  <si>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</si>
  <si>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Predicted Values Table (Linear)</t>
  </si>
  <si>
    <t>Defects over time</t>
  </si>
  <si>
    <t>Model: y = 1.3351x + 817.33</t>
  </si>
  <si>
    <t>Linear Regression</t>
  </si>
  <si>
    <t>Employee Retention</t>
  </si>
  <si>
    <t>YearsPLE</t>
  </si>
  <si>
    <t>YrsEducation</t>
  </si>
  <si>
    <t>College GPA</t>
  </si>
  <si>
    <t>Age</t>
  </si>
  <si>
    <t>Problem(s):</t>
  </si>
  <si>
    <r>
      <t xml:space="preserve">(1) Conduct a statistical study to determine the effect that </t>
    </r>
    <r>
      <rPr>
        <b/>
        <sz val="12"/>
        <color theme="1"/>
        <rFont val="Calibri"/>
        <family val="2"/>
        <scheme val="minor"/>
      </rPr>
      <t>YrsEducation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GPA</t>
    </r>
    <r>
      <rPr>
        <sz val="12"/>
        <color theme="1"/>
        <rFont val="Calibri"/>
        <family val="2"/>
        <scheme val="minor"/>
      </rPr>
      <t xml:space="preserve">, and </t>
    </r>
    <r>
      <rPr>
        <b/>
        <sz val="12"/>
        <color theme="1"/>
        <rFont val="Calibri"/>
        <family val="2"/>
        <scheme val="minor"/>
      </rPr>
      <t>Age</t>
    </r>
    <r>
      <rPr>
        <sz val="12"/>
        <color theme="1"/>
        <rFont val="Calibri"/>
        <family val="2"/>
        <scheme val="minor"/>
      </rPr>
      <t xml:space="preserve"> when hired have on retention.</t>
    </r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</si>
  <si>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</si>
  <si>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</si>
  <si>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</si>
  <si>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</si>
  <si>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</si>
  <si>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</si>
  <si>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</si>
  <si>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</si>
  <si>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</si>
  <si>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</si>
  <si>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</si>
  <si>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</si>
  <si>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</si>
  <si>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</si>
  <si>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</si>
  <si>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</si>
  <si>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</si>
  <si>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</si>
  <si>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</si>
  <si>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</si>
  <si>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</si>
  <si>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</si>
  <si>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</si>
  <si>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</si>
  <si>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 xml:space="preserve">Conclusion: Age has a slight, but statistically significant, positive correlation with retention. </t>
  </si>
  <si>
    <t>However, years of education and college GPA were not seen to have a statistically significant impact on retention.</t>
  </si>
  <si>
    <t>Engine Production Time</t>
  </si>
  <si>
    <t>Sample</t>
  </si>
  <si>
    <t>Production Time (min)</t>
  </si>
  <si>
    <t>Get a better handle on understanding the rate of learning to estimate future production costs</t>
  </si>
  <si>
    <t>Model: y = 10.103ln(x) + 809.77</t>
  </si>
  <si>
    <t>Recommendations for further reducing defects</t>
  </si>
  <si>
    <t>Stuff they already did: more closely coordinate deliveries, improve materials quality through reengineering supplier production policies</t>
  </si>
  <si>
    <t>Consider finding other (better suppliers)</t>
  </si>
  <si>
    <t>Require suppliers to have and maintain quality certifications so only proven, capable suppliers become preferred vendors</t>
  </si>
  <si>
    <t>Require suppliers to meet the minimum quality standards (Cpk) levels to make sure that their processes are capable of consistently producing within the quality limits</t>
  </si>
  <si>
    <t>Add chart of what actually happened</t>
  </si>
  <si>
    <t>2014</t>
  </si>
  <si>
    <t>2015</t>
  </si>
  <si>
    <t>2016</t>
  </si>
  <si>
    <t>2017</t>
  </si>
  <si>
    <t>2018</t>
  </si>
  <si>
    <t>Value Index (Use for predicted value calculations above)</t>
  </si>
  <si>
    <t>Data Table Values (Pasted into single columns for plotting)</t>
  </si>
  <si>
    <r>
      <t>Conclusion</t>
    </r>
    <r>
      <rPr>
        <sz val="12"/>
        <color theme="1"/>
        <rFont val="Calibri"/>
        <family val="2"/>
        <scheme val="minor"/>
      </rPr>
      <t>: The rate of learning appears to closely follow a logarithmic model of y = -5.196ln(x) + 66.152</t>
    </r>
  </si>
  <si>
    <t>Team Members</t>
  </si>
  <si>
    <t>Dylan Baumbach</t>
  </si>
  <si>
    <t>Ivanna Nguyen</t>
  </si>
  <si>
    <t>Dazzle Theruvath</t>
  </si>
  <si>
    <t>Elohor Adesuwa Idehen</t>
  </si>
  <si>
    <t>Without Initiative</t>
  </si>
  <si>
    <t>With Initiative</t>
  </si>
  <si>
    <t>Predicted Values Table (Logarithmic)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</si>
</sst>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4"/>
      <name val="Arial"/>
      <family val="2"/>
    </font>
    <font>
      <sz val="12"/>
      <color theme="4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name val="Arial"/>
      <family val="2"/>
    </font>
    <font>
      <b/>
      <i/>
      <sz val="12"/>
      <name val="Arial"/>
      <family val="2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2" tint="-0.249977111117893"/>
      <name val="Arial"/>
      <family val="2"/>
    </font>
    <font>
      <sz val="12"/>
      <color theme="2" tint="-0.249977111117893"/>
      <name val="Arial"/>
      <family val="2"/>
    </font>
    <font>
      <sz val="12"/>
      <color theme="2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2" tint="-0.24997711111789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17" fontId="1" fillId="0" borderId="0" xfId="0" applyNumberFormat="1" applyFont="1"/>
    <xf numFmtId="0" fontId="1" fillId="0" borderId="1" xfId="0" applyFont="1" applyBorder="1" applyAlignment="1">
      <alignment horizontal="center"/>
    </xf>
    <xf numFmtId="2" fontId="2" fillId="0" borderId="0" xfId="0" applyNumberFormat="1" applyFont="1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8" fillId="0" borderId="0" xfId="0" applyFont="1"/>
    <xf numFmtId="2" fontId="7" fillId="0" borderId="0" xfId="0" applyNumberFormat="1" applyFont="1"/>
    <xf numFmtId="2" fontId="6" fillId="0" borderId="0" xfId="0" applyNumberFormat="1" applyFont="1"/>
    <xf numFmtId="0" fontId="9" fillId="0" borderId="0" xfId="0" applyFont="1"/>
    <xf numFmtId="0" fontId="5" fillId="0" borderId="0" xfId="0" applyFont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/>
    <xf numFmtId="0" fontId="13" fillId="0" borderId="3" xfId="0" applyFont="1" applyBorder="1" applyAlignment="1">
      <alignment horizontal="center"/>
    </xf>
    <xf numFmtId="0" fontId="8" fillId="0" borderId="2" xfId="0" applyFont="1" applyBorder="1"/>
    <xf numFmtId="2" fontId="0" fillId="0" borderId="0" xfId="0" applyNumberFormat="1"/>
    <xf numFmtId="0" fontId="14" fillId="0" borderId="0" xfId="0" applyFont="1"/>
    <xf numFmtId="0" fontId="13" fillId="0" borderId="0" xfId="0" applyFont="1" applyAlignment="1">
      <alignment horizontal="center"/>
    </xf>
    <xf numFmtId="164" fontId="0" fillId="0" borderId="0" xfId="0" applyNumberForma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5" fillId="0" borderId="1" xfId="0" applyFont="1" applyBorder="1"/>
    <xf numFmtId="17" fontId="15" fillId="0" borderId="0" xfId="0" applyNumberFormat="1" applyFont="1"/>
    <xf numFmtId="0" fontId="0" fillId="2" borderId="0" xfId="0" applyFill="1"/>
    <xf numFmtId="0" fontId="1" fillId="2" borderId="0" xfId="0" applyFont="1" applyFill="1"/>
    <xf numFmtId="0" fontId="13" fillId="0" borderId="0" xfId="0" applyFont="1" applyAlignment="1">
      <alignment horizontal="centerContinuous"/>
    </xf>
    <xf numFmtId="0" fontId="18" fillId="0" borderId="0" xfId="0" applyFont="1"/>
    <xf numFmtId="0" fontId="19" fillId="0" borderId="1" xfId="0" applyFont="1" applyBorder="1"/>
    <xf numFmtId="0" fontId="8" fillId="2" borderId="0" xfId="0" applyFont="1" applyFill="1"/>
    <xf numFmtId="0" fontId="8" fillId="2" borderId="2" xfId="0" applyFont="1" applyFill="1" applyBorder="1"/>
    <xf numFmtId="0" fontId="0" fillId="3" borderId="0" xfId="0" applyFill="1"/>
    <xf numFmtId="0" fontId="2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Defects per million /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341535433070865"/>
                  <c:y val="-4.5880358705161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'Defects after Delivery'!$Y$3:$Y$21</c:f>
              <c:numCache>
                <c:formatCode>General</c:formatCode>
                <c:ptCount val="19"/>
                <c:pt idx="0">
                  <c:v>812</c:v>
                </c:pt>
                <c:pt idx="1">
                  <c:v>810</c:v>
                </c:pt>
                <c:pt idx="2">
                  <c:v>813</c:v>
                </c:pt>
                <c:pt idx="3">
                  <c:v>823</c:v>
                </c:pt>
                <c:pt idx="4">
                  <c:v>832</c:v>
                </c:pt>
                <c:pt idx="5">
                  <c:v>848</c:v>
                </c:pt>
                <c:pt idx="6">
                  <c:v>837</c:v>
                </c:pt>
                <c:pt idx="7">
                  <c:v>831</c:v>
                </c:pt>
                <c:pt idx="8">
                  <c:v>827</c:v>
                </c:pt>
                <c:pt idx="9">
                  <c:v>838</c:v>
                </c:pt>
                <c:pt idx="10">
                  <c:v>826</c:v>
                </c:pt>
                <c:pt idx="11">
                  <c:v>819</c:v>
                </c:pt>
                <c:pt idx="12">
                  <c:v>828</c:v>
                </c:pt>
                <c:pt idx="13">
                  <c:v>832</c:v>
                </c:pt>
                <c:pt idx="14">
                  <c:v>847</c:v>
                </c:pt>
                <c:pt idx="15">
                  <c:v>839</c:v>
                </c:pt>
                <c:pt idx="16">
                  <c:v>832</c:v>
                </c:pt>
                <c:pt idx="17">
                  <c:v>840</c:v>
                </c:pt>
                <c:pt idx="18">
                  <c:v>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5-42B9-81D4-52074DEDB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68720"/>
        <c:axId val="90072080"/>
      </c:scatterChart>
      <c:valAx>
        <c:axId val="9006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2080"/>
        <c:crosses val="autoZero"/>
        <c:crossBetween val="midCat"/>
      </c:valAx>
      <c:valAx>
        <c:axId val="900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Defects Per Million Trend Before</a:t>
            </a:r>
            <a:r>
              <a:rPr lang="en-US" baseline="0"/>
              <a:t> Initiative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7341535433070865"/>
                  <c:y val="-4.5880358705161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'Defects after Delivery'!$Y$3:$Y$21</c:f>
              <c:numCache>
                <c:formatCode>General</c:formatCode>
                <c:ptCount val="19"/>
                <c:pt idx="0">
                  <c:v>812</c:v>
                </c:pt>
                <c:pt idx="1">
                  <c:v>810</c:v>
                </c:pt>
                <c:pt idx="2">
                  <c:v>813</c:v>
                </c:pt>
                <c:pt idx="3">
                  <c:v>823</c:v>
                </c:pt>
                <c:pt idx="4">
                  <c:v>832</c:v>
                </c:pt>
                <c:pt idx="5">
                  <c:v>848</c:v>
                </c:pt>
                <c:pt idx="6">
                  <c:v>837</c:v>
                </c:pt>
                <c:pt idx="7">
                  <c:v>831</c:v>
                </c:pt>
                <c:pt idx="8">
                  <c:v>827</c:v>
                </c:pt>
                <c:pt idx="9">
                  <c:v>838</c:v>
                </c:pt>
                <c:pt idx="10">
                  <c:v>826</c:v>
                </c:pt>
                <c:pt idx="11">
                  <c:v>819</c:v>
                </c:pt>
                <c:pt idx="12">
                  <c:v>828</c:v>
                </c:pt>
                <c:pt idx="13">
                  <c:v>832</c:v>
                </c:pt>
                <c:pt idx="14">
                  <c:v>847</c:v>
                </c:pt>
                <c:pt idx="15">
                  <c:v>839</c:v>
                </c:pt>
                <c:pt idx="16">
                  <c:v>832</c:v>
                </c:pt>
                <c:pt idx="17">
                  <c:v>840</c:v>
                </c:pt>
                <c:pt idx="18">
                  <c:v>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B-42CD-9614-37E371E93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68720"/>
        <c:axId val="90072080"/>
      </c:scatterChart>
      <c:valAx>
        <c:axId val="9006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2080"/>
        <c:crosses val="autoZero"/>
        <c:crossBetween val="midCat"/>
      </c:valAx>
      <c:valAx>
        <c:axId val="900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Defects per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Defects Without Initiative (using Logarithmic Model)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'Defects after Delivery'!$AB$3:$AB$62</c:f>
              <c:numCache>
                <c:formatCode>0.0</c:formatCode>
                <c:ptCount val="60"/>
                <c:pt idx="0">
                  <c:v>812</c:v>
                </c:pt>
                <c:pt idx="1">
                  <c:v>810</c:v>
                </c:pt>
                <c:pt idx="2">
                  <c:v>813</c:v>
                </c:pt>
                <c:pt idx="3">
                  <c:v>823</c:v>
                </c:pt>
                <c:pt idx="4">
                  <c:v>832</c:v>
                </c:pt>
                <c:pt idx="5">
                  <c:v>848</c:v>
                </c:pt>
                <c:pt idx="6">
                  <c:v>837</c:v>
                </c:pt>
                <c:pt idx="7">
                  <c:v>831</c:v>
                </c:pt>
                <c:pt idx="8">
                  <c:v>827</c:v>
                </c:pt>
                <c:pt idx="9">
                  <c:v>838</c:v>
                </c:pt>
                <c:pt idx="10">
                  <c:v>826</c:v>
                </c:pt>
                <c:pt idx="11">
                  <c:v>819</c:v>
                </c:pt>
                <c:pt idx="12" formatCode="General">
                  <c:v>828</c:v>
                </c:pt>
                <c:pt idx="13" formatCode="General">
                  <c:v>832</c:v>
                </c:pt>
                <c:pt idx="14" formatCode="General">
                  <c:v>847</c:v>
                </c:pt>
                <c:pt idx="15" formatCode="General">
                  <c:v>839</c:v>
                </c:pt>
                <c:pt idx="16" formatCode="General">
                  <c:v>832</c:v>
                </c:pt>
                <c:pt idx="17" formatCode="General">
                  <c:v>840</c:v>
                </c:pt>
                <c:pt idx="18" formatCode="General">
                  <c:v>849</c:v>
                </c:pt>
                <c:pt idx="19">
                  <c:v>840.03588315971592</c:v>
                </c:pt>
                <c:pt idx="20">
                  <c:v>840.52881018831977</c:v>
                </c:pt>
                <c:pt idx="21">
                  <c:v>840.99880190627903</c:v>
                </c:pt>
                <c:pt idx="22">
                  <c:v>841.44789806353219</c:v>
                </c:pt>
                <c:pt idx="23">
                  <c:v>841.87787784800526</c:v>
                </c:pt>
                <c:pt idx="24">
                  <c:v>842.2903024586434</c:v>
                </c:pt>
                <c:pt idx="25">
                  <c:v>842.68654932363097</c:v>
                </c:pt>
                <c:pt idx="26">
                  <c:v>843.06783985724167</c:v>
                </c:pt>
                <c:pt idx="27">
                  <c:v>843.43526216630005</c:v>
                </c:pt>
                <c:pt idx="28">
                  <c:v>843.78978977035331</c:v>
                </c:pt>
                <c:pt idx="29">
                  <c:v>844.13229714693273</c:v>
                </c:pt>
                <c:pt idx="30">
                  <c:v>844.46357272691341</c:v>
                </c:pt>
                <c:pt idx="31">
                  <c:v>844.78432982598565</c:v>
                </c:pt>
                <c:pt idx="32">
                  <c:v>845.09521589349583</c:v>
                </c:pt>
                <c:pt idx="33">
                  <c:v>845.39682038019703</c:v>
                </c:pt>
                <c:pt idx="34">
                  <c:v>845.68968146522752</c:v>
                </c:pt>
                <c:pt idx="35">
                  <c:v>845.97429183522206</c:v>
                </c:pt>
                <c:pt idx="36">
                  <c:v>846.25110367144453</c:v>
                </c:pt>
                <c:pt idx="37">
                  <c:v>846.52053297171562</c:v>
                </c:pt>
                <c:pt idx="38">
                  <c:v>846.78296331084778</c:v>
                </c:pt>
                <c:pt idx="39">
                  <c:v>847.03874912491312</c:v>
                </c:pt>
                <c:pt idx="40">
                  <c:v>847.28821858991364</c:v>
                </c:pt>
                <c:pt idx="41">
                  <c:v>847.53167615351686</c:v>
                </c:pt>
                <c:pt idx="42">
                  <c:v>847.76940476885204</c:v>
                </c:pt>
                <c:pt idx="43">
                  <c:v>848.00166787147623</c:v>
                </c:pt>
                <c:pt idx="44">
                  <c:v>848.22871113414953</c:v>
                </c:pt>
                <c:pt idx="45">
                  <c:v>848.45076402872928</c:v>
                </c:pt>
                <c:pt idx="46">
                  <c:v>848.6680412200767</c:v>
                </c:pt>
                <c:pt idx="47">
                  <c:v>848.88074381320246</c:v>
                </c:pt>
                <c:pt idx="48">
                  <c:v>849.08906047181165</c:v>
                </c:pt>
                <c:pt idx="49">
                  <c:v>849.2931684238406</c:v>
                </c:pt>
                <c:pt idx="50">
                  <c:v>849.49323436741383</c:v>
                </c:pt>
                <c:pt idx="51">
                  <c:v>849.68941528882817</c:v>
                </c:pt>
                <c:pt idx="52">
                  <c:v>849.88185920261708</c:v>
                </c:pt>
                <c:pt idx="53">
                  <c:v>850.07070582243887</c:v>
                </c:pt>
                <c:pt idx="54">
                  <c:v>850.25608717040359</c:v>
                </c:pt>
                <c:pt idx="55">
                  <c:v>850.43812813149725</c:v>
                </c:pt>
                <c:pt idx="56">
                  <c:v>850.61694695893243</c:v>
                </c:pt>
                <c:pt idx="57">
                  <c:v>850.7926557355504</c:v>
                </c:pt>
                <c:pt idx="58">
                  <c:v>850.96536079577947</c:v>
                </c:pt>
                <c:pt idx="59">
                  <c:v>851.13516311212982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5-43DD-8925-EF22EBE8A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811504"/>
        <c:axId val="214811984"/>
      </c:lineChart>
      <c:catAx>
        <c:axId val="21481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11984"/>
        <c:crosses val="autoZero"/>
        <c:auto val="1"/>
        <c:lblAlgn val="ctr"/>
        <c:lblOffset val="100"/>
        <c:tickLblSkip val="12"/>
        <c:tickMarkSkip val="4"/>
        <c:noMultiLvlLbl val="0"/>
      </c:catAx>
      <c:valAx>
        <c:axId val="21481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Defects per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1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Defects Per Million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'Defects after Delivery'!$AC$3:$AC$62</c:f>
              <c:numCache>
                <c:formatCode>General</c:formatCode>
                <c:ptCount val="60"/>
                <c:pt idx="0">
                  <c:v>812</c:v>
                </c:pt>
                <c:pt idx="1">
                  <c:v>810</c:v>
                </c:pt>
                <c:pt idx="2">
                  <c:v>813</c:v>
                </c:pt>
                <c:pt idx="3">
                  <c:v>823</c:v>
                </c:pt>
                <c:pt idx="4">
                  <c:v>832</c:v>
                </c:pt>
                <c:pt idx="5">
                  <c:v>848</c:v>
                </c:pt>
                <c:pt idx="6">
                  <c:v>837</c:v>
                </c:pt>
                <c:pt idx="7">
                  <c:v>831</c:v>
                </c:pt>
                <c:pt idx="8">
                  <c:v>827</c:v>
                </c:pt>
                <c:pt idx="9">
                  <c:v>838</c:v>
                </c:pt>
                <c:pt idx="10">
                  <c:v>826</c:v>
                </c:pt>
                <c:pt idx="11">
                  <c:v>819</c:v>
                </c:pt>
                <c:pt idx="12">
                  <c:v>828</c:v>
                </c:pt>
                <c:pt idx="13">
                  <c:v>832</c:v>
                </c:pt>
                <c:pt idx="14">
                  <c:v>847</c:v>
                </c:pt>
                <c:pt idx="15">
                  <c:v>839</c:v>
                </c:pt>
                <c:pt idx="16">
                  <c:v>832</c:v>
                </c:pt>
                <c:pt idx="17">
                  <c:v>840</c:v>
                </c:pt>
                <c:pt idx="18">
                  <c:v>849</c:v>
                </c:pt>
                <c:pt idx="19">
                  <c:v>857</c:v>
                </c:pt>
                <c:pt idx="20">
                  <c:v>839</c:v>
                </c:pt>
                <c:pt idx="21">
                  <c:v>842</c:v>
                </c:pt>
                <c:pt idx="22">
                  <c:v>828</c:v>
                </c:pt>
                <c:pt idx="23">
                  <c:v>816</c:v>
                </c:pt>
                <c:pt idx="24">
                  <c:v>824</c:v>
                </c:pt>
                <c:pt idx="25">
                  <c:v>836</c:v>
                </c:pt>
                <c:pt idx="26">
                  <c:v>818</c:v>
                </c:pt>
                <c:pt idx="27">
                  <c:v>825</c:v>
                </c:pt>
                <c:pt idx="28">
                  <c:v>804</c:v>
                </c:pt>
                <c:pt idx="29">
                  <c:v>812</c:v>
                </c:pt>
                <c:pt idx="30">
                  <c:v>806</c:v>
                </c:pt>
                <c:pt idx="31">
                  <c:v>798</c:v>
                </c:pt>
                <c:pt idx="32">
                  <c:v>804</c:v>
                </c:pt>
                <c:pt idx="33">
                  <c:v>713</c:v>
                </c:pt>
                <c:pt idx="34">
                  <c:v>705</c:v>
                </c:pt>
                <c:pt idx="35">
                  <c:v>686</c:v>
                </c:pt>
                <c:pt idx="36">
                  <c:v>682</c:v>
                </c:pt>
                <c:pt idx="37">
                  <c:v>695</c:v>
                </c:pt>
                <c:pt idx="38">
                  <c:v>692</c:v>
                </c:pt>
                <c:pt idx="39">
                  <c:v>686</c:v>
                </c:pt>
                <c:pt idx="40">
                  <c:v>673</c:v>
                </c:pt>
                <c:pt idx="41">
                  <c:v>681</c:v>
                </c:pt>
                <c:pt idx="42">
                  <c:v>696</c:v>
                </c:pt>
                <c:pt idx="43">
                  <c:v>688</c:v>
                </c:pt>
                <c:pt idx="44">
                  <c:v>671</c:v>
                </c:pt>
                <c:pt idx="45">
                  <c:v>645</c:v>
                </c:pt>
                <c:pt idx="46">
                  <c:v>617</c:v>
                </c:pt>
                <c:pt idx="47">
                  <c:v>603</c:v>
                </c:pt>
                <c:pt idx="48">
                  <c:v>571</c:v>
                </c:pt>
                <c:pt idx="49">
                  <c:v>575</c:v>
                </c:pt>
                <c:pt idx="50">
                  <c:v>547</c:v>
                </c:pt>
                <c:pt idx="51">
                  <c:v>542</c:v>
                </c:pt>
                <c:pt idx="52">
                  <c:v>532</c:v>
                </c:pt>
                <c:pt idx="53">
                  <c:v>496</c:v>
                </c:pt>
                <c:pt idx="54">
                  <c:v>472</c:v>
                </c:pt>
                <c:pt idx="55">
                  <c:v>460</c:v>
                </c:pt>
                <c:pt idx="56">
                  <c:v>441</c:v>
                </c:pt>
                <c:pt idx="57">
                  <c:v>445</c:v>
                </c:pt>
                <c:pt idx="58">
                  <c:v>438</c:v>
                </c:pt>
                <c:pt idx="59">
                  <c:v>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2-4C1F-892C-73540F645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563823"/>
        <c:axId val="357561423"/>
      </c:scatterChart>
      <c:valAx>
        <c:axId val="35756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61423"/>
        <c:crosses val="autoZero"/>
        <c:crossBetween val="midCat"/>
      </c:valAx>
      <c:valAx>
        <c:axId val="3575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Defects per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6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Defects after Delivery With and Without Initiative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'Defects after Delivery'!$AB$2</c:f>
              <c:strCache>
                <c:ptCount val="1"/>
                <c:pt idx="0">
                  <c:v>Without Initiative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'Defects after Delivery'!$AB$3:$AB$62</c:f>
              <c:numCache>
                <c:formatCode>0.0</c:formatCode>
                <c:ptCount val="60"/>
                <c:pt idx="0">
                  <c:v>812</c:v>
                </c:pt>
                <c:pt idx="1">
                  <c:v>810</c:v>
                </c:pt>
                <c:pt idx="2">
                  <c:v>813</c:v>
                </c:pt>
                <c:pt idx="3">
                  <c:v>823</c:v>
                </c:pt>
                <c:pt idx="4">
                  <c:v>832</c:v>
                </c:pt>
                <c:pt idx="5">
                  <c:v>848</c:v>
                </c:pt>
                <c:pt idx="6">
                  <c:v>837</c:v>
                </c:pt>
                <c:pt idx="7">
                  <c:v>831</c:v>
                </c:pt>
                <c:pt idx="8">
                  <c:v>827</c:v>
                </c:pt>
                <c:pt idx="9">
                  <c:v>838</c:v>
                </c:pt>
                <c:pt idx="10">
                  <c:v>826</c:v>
                </c:pt>
                <c:pt idx="11">
                  <c:v>819</c:v>
                </c:pt>
                <c:pt idx="12" formatCode="General">
                  <c:v>828</c:v>
                </c:pt>
                <c:pt idx="13" formatCode="General">
                  <c:v>832</c:v>
                </c:pt>
                <c:pt idx="14" formatCode="General">
                  <c:v>847</c:v>
                </c:pt>
                <c:pt idx="15" formatCode="General">
                  <c:v>839</c:v>
                </c:pt>
                <c:pt idx="16" formatCode="General">
                  <c:v>832</c:v>
                </c:pt>
                <c:pt idx="17" formatCode="General">
                  <c:v>840</c:v>
                </c:pt>
                <c:pt idx="18" formatCode="General">
                  <c:v>849</c:v>
                </c:pt>
                <c:pt idx="19">
                  <c:v>840.03588315971592</c:v>
                </c:pt>
                <c:pt idx="20">
                  <c:v>840.52881018831977</c:v>
                </c:pt>
                <c:pt idx="21">
                  <c:v>840.99880190627903</c:v>
                </c:pt>
                <c:pt idx="22">
                  <c:v>841.44789806353219</c:v>
                </c:pt>
                <c:pt idx="23">
                  <c:v>841.87787784800526</c:v>
                </c:pt>
                <c:pt idx="24">
                  <c:v>842.2903024586434</c:v>
                </c:pt>
                <c:pt idx="25">
                  <c:v>842.68654932363097</c:v>
                </c:pt>
                <c:pt idx="26">
                  <c:v>843.06783985724167</c:v>
                </c:pt>
                <c:pt idx="27">
                  <c:v>843.43526216630005</c:v>
                </c:pt>
                <c:pt idx="28">
                  <c:v>843.78978977035331</c:v>
                </c:pt>
                <c:pt idx="29">
                  <c:v>844.13229714693273</c:v>
                </c:pt>
                <c:pt idx="30">
                  <c:v>844.46357272691341</c:v>
                </c:pt>
                <c:pt idx="31">
                  <c:v>844.78432982598565</c:v>
                </c:pt>
                <c:pt idx="32">
                  <c:v>845.09521589349583</c:v>
                </c:pt>
                <c:pt idx="33">
                  <c:v>845.39682038019703</c:v>
                </c:pt>
                <c:pt idx="34">
                  <c:v>845.68968146522752</c:v>
                </c:pt>
                <c:pt idx="35">
                  <c:v>845.97429183522206</c:v>
                </c:pt>
                <c:pt idx="36">
                  <c:v>846.25110367144453</c:v>
                </c:pt>
                <c:pt idx="37">
                  <c:v>846.52053297171562</c:v>
                </c:pt>
                <c:pt idx="38">
                  <c:v>846.78296331084778</c:v>
                </c:pt>
                <c:pt idx="39">
                  <c:v>847.03874912491312</c:v>
                </c:pt>
                <c:pt idx="40">
                  <c:v>847.28821858991364</c:v>
                </c:pt>
                <c:pt idx="41">
                  <c:v>847.53167615351686</c:v>
                </c:pt>
                <c:pt idx="42">
                  <c:v>847.76940476885204</c:v>
                </c:pt>
                <c:pt idx="43">
                  <c:v>848.00166787147623</c:v>
                </c:pt>
                <c:pt idx="44">
                  <c:v>848.22871113414953</c:v>
                </c:pt>
                <c:pt idx="45">
                  <c:v>848.45076402872928</c:v>
                </c:pt>
                <c:pt idx="46">
                  <c:v>848.6680412200767</c:v>
                </c:pt>
                <c:pt idx="47">
                  <c:v>848.88074381320246</c:v>
                </c:pt>
                <c:pt idx="48">
                  <c:v>849.08906047181165</c:v>
                </c:pt>
                <c:pt idx="49">
                  <c:v>849.2931684238406</c:v>
                </c:pt>
                <c:pt idx="50">
                  <c:v>849.49323436741383</c:v>
                </c:pt>
                <c:pt idx="51">
                  <c:v>849.68941528882817</c:v>
                </c:pt>
                <c:pt idx="52">
                  <c:v>849.88185920261708</c:v>
                </c:pt>
                <c:pt idx="53">
                  <c:v>850.07070582243887</c:v>
                </c:pt>
                <c:pt idx="54">
                  <c:v>850.25608717040359</c:v>
                </c:pt>
                <c:pt idx="55">
                  <c:v>850.43812813149725</c:v>
                </c:pt>
                <c:pt idx="56">
                  <c:v>850.61694695893243</c:v>
                </c:pt>
                <c:pt idx="57">
                  <c:v>850.7926557355504</c:v>
                </c:pt>
                <c:pt idx="58">
                  <c:v>850.96536079577947</c:v>
                </c:pt>
                <c:pt idx="59">
                  <c:v>851.13516311212982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A-47E7-9CC2-B4FD263B5284}"/>
            </c:ext>
          </c:extLst>
        </c:ser>
        <c:ser>
          <c:idx val="1"/>
          <c:order val="1"/>
          <c:tx>
            <c:strRef>
              <c:f>'Defects after Delivery'!$AC$2</c:f>
              <c:strCache>
                <c:ptCount val="1"/>
                <c:pt idx="0">
                  <c:v>With Initiative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'Defects after Delivery'!$AC$3:$AC$62</c:f>
              <c:numCache>
                <c:formatCode>General</c:formatCode>
                <c:ptCount val="60"/>
                <c:pt idx="0">
                  <c:v>812</c:v>
                </c:pt>
                <c:pt idx="1">
                  <c:v>810</c:v>
                </c:pt>
                <c:pt idx="2">
                  <c:v>813</c:v>
                </c:pt>
                <c:pt idx="3">
                  <c:v>823</c:v>
                </c:pt>
                <c:pt idx="4">
                  <c:v>832</c:v>
                </c:pt>
                <c:pt idx="5">
                  <c:v>848</c:v>
                </c:pt>
                <c:pt idx="6">
                  <c:v>837</c:v>
                </c:pt>
                <c:pt idx="7">
                  <c:v>831</c:v>
                </c:pt>
                <c:pt idx="8">
                  <c:v>827</c:v>
                </c:pt>
                <c:pt idx="9">
                  <c:v>838</c:v>
                </c:pt>
                <c:pt idx="10">
                  <c:v>826</c:v>
                </c:pt>
                <c:pt idx="11">
                  <c:v>819</c:v>
                </c:pt>
                <c:pt idx="12">
                  <c:v>828</c:v>
                </c:pt>
                <c:pt idx="13">
                  <c:v>832</c:v>
                </c:pt>
                <c:pt idx="14">
                  <c:v>847</c:v>
                </c:pt>
                <c:pt idx="15">
                  <c:v>839</c:v>
                </c:pt>
                <c:pt idx="16">
                  <c:v>832</c:v>
                </c:pt>
                <c:pt idx="17">
                  <c:v>840</c:v>
                </c:pt>
                <c:pt idx="18">
                  <c:v>849</c:v>
                </c:pt>
                <c:pt idx="19">
                  <c:v>857</c:v>
                </c:pt>
                <c:pt idx="20">
                  <c:v>839</c:v>
                </c:pt>
                <c:pt idx="21">
                  <c:v>842</c:v>
                </c:pt>
                <c:pt idx="22">
                  <c:v>828</c:v>
                </c:pt>
                <c:pt idx="23">
                  <c:v>816</c:v>
                </c:pt>
                <c:pt idx="24">
                  <c:v>824</c:v>
                </c:pt>
                <c:pt idx="25">
                  <c:v>836</c:v>
                </c:pt>
                <c:pt idx="26">
                  <c:v>818</c:v>
                </c:pt>
                <c:pt idx="27">
                  <c:v>825</c:v>
                </c:pt>
                <c:pt idx="28">
                  <c:v>804</c:v>
                </c:pt>
                <c:pt idx="29">
                  <c:v>812</c:v>
                </c:pt>
                <c:pt idx="30">
                  <c:v>806</c:v>
                </c:pt>
                <c:pt idx="31">
                  <c:v>798</c:v>
                </c:pt>
                <c:pt idx="32">
                  <c:v>804</c:v>
                </c:pt>
                <c:pt idx="33">
                  <c:v>713</c:v>
                </c:pt>
                <c:pt idx="34">
                  <c:v>705</c:v>
                </c:pt>
                <c:pt idx="35">
                  <c:v>686</c:v>
                </c:pt>
                <c:pt idx="36">
                  <c:v>682</c:v>
                </c:pt>
                <c:pt idx="37">
                  <c:v>695</c:v>
                </c:pt>
                <c:pt idx="38">
                  <c:v>692</c:v>
                </c:pt>
                <c:pt idx="39">
                  <c:v>686</c:v>
                </c:pt>
                <c:pt idx="40">
                  <c:v>673</c:v>
                </c:pt>
                <c:pt idx="41">
                  <c:v>681</c:v>
                </c:pt>
                <c:pt idx="42">
                  <c:v>696</c:v>
                </c:pt>
                <c:pt idx="43">
                  <c:v>688</c:v>
                </c:pt>
                <c:pt idx="44">
                  <c:v>671</c:v>
                </c:pt>
                <c:pt idx="45">
                  <c:v>645</c:v>
                </c:pt>
                <c:pt idx="46">
                  <c:v>617</c:v>
                </c:pt>
                <c:pt idx="47">
                  <c:v>603</c:v>
                </c:pt>
                <c:pt idx="48">
                  <c:v>571</c:v>
                </c:pt>
                <c:pt idx="49">
                  <c:v>575</c:v>
                </c:pt>
                <c:pt idx="50">
                  <c:v>547</c:v>
                </c:pt>
                <c:pt idx="51">
                  <c:v>542</c:v>
                </c:pt>
                <c:pt idx="52">
                  <c:v>532</c:v>
                </c:pt>
                <c:pt idx="53">
                  <c:v>496</c:v>
                </c:pt>
                <c:pt idx="54">
                  <c:v>472</c:v>
                </c:pt>
                <c:pt idx="55">
                  <c:v>460</c:v>
                </c:pt>
                <c:pt idx="56">
                  <c:v>441</c:v>
                </c:pt>
                <c:pt idx="57">
                  <c:v>445</c:v>
                </c:pt>
                <c:pt idx="58">
                  <c:v>438</c:v>
                </c:pt>
                <c:pt idx="59">
                  <c:v>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DA-47E7-9CC2-B4FD263B5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264928"/>
        <c:axId val="2016263968"/>
      </c:lineChart>
      <c:catAx>
        <c:axId val="201626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63968"/>
        <c:crosses val="autoZero"/>
        <c:auto val="1"/>
        <c:lblAlgn val="ctr"/>
        <c:lblOffset val="100"/>
        <c:tickLblSkip val="12"/>
        <c:noMultiLvlLbl val="0"/>
      </c:catAx>
      <c:valAx>
        <c:axId val="20162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Defects</a:t>
                </a:r>
                <a:r>
                  <a:rPr lang="en-US" baseline="0"/>
                  <a:t> per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6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 Production</a:t>
            </a:r>
            <a:r>
              <a:rPr lang="en-US" baseline="0"/>
              <a:t> Time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4.8615485564304464E-2"/>
                  <c:y val="0.12323490813648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Engines!$A$4:$A$53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Engines!$B$4:$B$53</c:f>
              <c:numCache>
                <c:formatCode>0.0</c:formatCode>
                <c:ptCount val="50"/>
                <c:pt idx="0">
                  <c:v>65.099999999999994</c:v>
                </c:pt>
                <c:pt idx="1">
                  <c:v>62.3</c:v>
                </c:pt>
                <c:pt idx="2">
                  <c:v>60.4</c:v>
                </c:pt>
                <c:pt idx="3">
                  <c:v>58.7</c:v>
                </c:pt>
                <c:pt idx="4">
                  <c:v>58.1</c:v>
                </c:pt>
                <c:pt idx="5">
                  <c:v>56.9</c:v>
                </c:pt>
                <c:pt idx="6">
                  <c:v>57</c:v>
                </c:pt>
                <c:pt idx="7">
                  <c:v>56.5</c:v>
                </c:pt>
                <c:pt idx="8">
                  <c:v>55.1</c:v>
                </c:pt>
                <c:pt idx="9">
                  <c:v>54.3</c:v>
                </c:pt>
                <c:pt idx="10">
                  <c:v>53.7</c:v>
                </c:pt>
                <c:pt idx="11">
                  <c:v>53.2</c:v>
                </c:pt>
                <c:pt idx="12">
                  <c:v>52.8</c:v>
                </c:pt>
                <c:pt idx="13">
                  <c:v>52.5</c:v>
                </c:pt>
                <c:pt idx="14">
                  <c:v>52.1</c:v>
                </c:pt>
                <c:pt idx="15">
                  <c:v>51.8</c:v>
                </c:pt>
                <c:pt idx="16">
                  <c:v>51.5</c:v>
                </c:pt>
                <c:pt idx="17">
                  <c:v>51.3</c:v>
                </c:pt>
                <c:pt idx="18">
                  <c:v>50.9</c:v>
                </c:pt>
                <c:pt idx="19">
                  <c:v>50.5</c:v>
                </c:pt>
                <c:pt idx="20">
                  <c:v>50.2</c:v>
                </c:pt>
                <c:pt idx="21">
                  <c:v>50</c:v>
                </c:pt>
                <c:pt idx="22">
                  <c:v>49.7</c:v>
                </c:pt>
                <c:pt idx="23">
                  <c:v>49.5</c:v>
                </c:pt>
                <c:pt idx="24">
                  <c:v>49.3</c:v>
                </c:pt>
                <c:pt idx="25">
                  <c:v>49.4</c:v>
                </c:pt>
                <c:pt idx="26">
                  <c:v>49.1</c:v>
                </c:pt>
                <c:pt idx="27">
                  <c:v>49</c:v>
                </c:pt>
                <c:pt idx="28">
                  <c:v>48.8</c:v>
                </c:pt>
                <c:pt idx="29">
                  <c:v>48.5</c:v>
                </c:pt>
                <c:pt idx="30">
                  <c:v>48.3</c:v>
                </c:pt>
                <c:pt idx="31">
                  <c:v>48.2</c:v>
                </c:pt>
                <c:pt idx="32">
                  <c:v>48.1</c:v>
                </c:pt>
                <c:pt idx="33">
                  <c:v>47.9</c:v>
                </c:pt>
                <c:pt idx="34">
                  <c:v>47.7</c:v>
                </c:pt>
                <c:pt idx="35">
                  <c:v>47.6</c:v>
                </c:pt>
                <c:pt idx="36">
                  <c:v>47.4</c:v>
                </c:pt>
                <c:pt idx="37">
                  <c:v>47.1</c:v>
                </c:pt>
                <c:pt idx="38">
                  <c:v>46.9</c:v>
                </c:pt>
                <c:pt idx="39">
                  <c:v>46.8</c:v>
                </c:pt>
                <c:pt idx="40">
                  <c:v>46.7</c:v>
                </c:pt>
                <c:pt idx="41">
                  <c:v>46.6</c:v>
                </c:pt>
                <c:pt idx="42">
                  <c:v>46.5</c:v>
                </c:pt>
                <c:pt idx="43">
                  <c:v>46.5</c:v>
                </c:pt>
                <c:pt idx="44">
                  <c:v>46.2</c:v>
                </c:pt>
                <c:pt idx="45">
                  <c:v>46.3</c:v>
                </c:pt>
                <c:pt idx="46">
                  <c:v>46</c:v>
                </c:pt>
                <c:pt idx="47">
                  <c:v>45.8</c:v>
                </c:pt>
                <c:pt idx="48">
                  <c:v>45.7</c:v>
                </c:pt>
                <c:pt idx="49">
                  <c:v>45.6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6-4A6B-8E4C-B9288A66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70720"/>
        <c:axId val="596571200"/>
      </c:scatterChart>
      <c:valAx>
        <c:axId val="59657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  <a:r>
                  <a:rPr lang="en-US" baseline="0"/>
                  <a:t> Time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71200"/>
        <c:crosses val="autoZero"/>
        <c:crossBetween val="midCat"/>
      </c:valAx>
      <c:valAx>
        <c:axId val="5965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7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323850</xdr:colOff>
      <xdr:row>8</xdr:row>
      <xdr:rowOff>152400</xdr:rowOff>
    </xdr:from>
    <xdr:to>
      <xdr:col>41</xdr:col>
      <xdr:colOff>609600</xdr:colOff>
      <xdr:row>22</xdr:row>
      <xdr:rowOff>76200</xdr:rowOff>
    </xdr:to>
    <xdr:graphicFrame macro="">
      <xdr:nvGraphicFramePr>
        <xdr:cNvPr id="27" name="Chart 3">
          <a:extLst>
            <a:ext uri="{FF2B5EF4-FFF2-40B4-BE49-F238E27FC236}">
              <a16:creationId xmlns:a16="http://schemas.microsoft.com/office/drawing/2014/main" id="{AA37C4A9-406A-8CD9-28C0-6CE72426E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6</xdr:col>
      <xdr:colOff>0</xdr:colOff>
      <xdr:row>29</xdr:row>
      <xdr:rowOff>142875</xdr:rowOff>
    </xdr:to>
    <xdr:graphicFrame macro="">
      <xdr:nvGraphicFramePr>
        <xdr:cNvPr id="48" name="Chart 6">
          <a:extLst>
            <a:ext uri="{FF2B5EF4-FFF2-40B4-BE49-F238E27FC236}">
              <a16:creationId xmlns:a16="http://schemas.microsoft.com/office/drawing/2014/main" id="{F20B59C4-E949-45D1-A3DF-D1EB09D05A86}"/>
            </a:ext>
            <a:ext uri="{147F2762-F138-4A5C-976F-8EAC2B608ADB}">
              <a16:predDERef xmlns:a16="http://schemas.microsoft.com/office/drawing/2014/main" pred="{AA37C4A9-406A-8CD9-28C0-6CE72426E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721</xdr:colOff>
      <xdr:row>53</xdr:row>
      <xdr:rowOff>289</xdr:rowOff>
    </xdr:from>
    <xdr:to>
      <xdr:col>12</xdr:col>
      <xdr:colOff>280698</xdr:colOff>
      <xdr:row>66</xdr:row>
      <xdr:rowOff>143165</xdr:rowOff>
    </xdr:to>
    <xdr:graphicFrame macro="">
      <xdr:nvGraphicFramePr>
        <xdr:cNvPr id="59" name="Chart 2">
          <a:extLst>
            <a:ext uri="{FF2B5EF4-FFF2-40B4-BE49-F238E27FC236}">
              <a16:creationId xmlns:a16="http://schemas.microsoft.com/office/drawing/2014/main" id="{F73F2EDD-FE2B-51A8-3C1D-3D7526B52F81}"/>
            </a:ext>
            <a:ext uri="{147F2762-F138-4A5C-976F-8EAC2B608ADB}">
              <a16:predDERef xmlns:a16="http://schemas.microsoft.com/office/drawing/2014/main" pred="{F20B59C4-E949-45D1-A3DF-D1EB09D05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0</xdr:row>
      <xdr:rowOff>180975</xdr:rowOff>
    </xdr:from>
    <xdr:to>
      <xdr:col>12</xdr:col>
      <xdr:colOff>314325</xdr:colOff>
      <xdr:row>13</xdr:row>
      <xdr:rowOff>171450</xdr:rowOff>
    </xdr:to>
    <xdr:graphicFrame macro="">
      <xdr:nvGraphicFramePr>
        <xdr:cNvPr id="46" name="Chart 2">
          <a:extLst>
            <a:ext uri="{FF2B5EF4-FFF2-40B4-BE49-F238E27FC236}">
              <a16:creationId xmlns:a16="http://schemas.microsoft.com/office/drawing/2014/main" id="{3FC964F4-549F-1C68-4C29-E9D15D432A1A}"/>
            </a:ext>
            <a:ext uri="{147F2762-F138-4A5C-976F-8EAC2B608ADB}">
              <a16:predDERef xmlns:a16="http://schemas.microsoft.com/office/drawing/2014/main" pred="{F73F2EDD-FE2B-51A8-3C1D-3D7526B52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234724</xdr:colOff>
      <xdr:row>70</xdr:row>
      <xdr:rowOff>91396</xdr:rowOff>
    </xdr:from>
    <xdr:to>
      <xdr:col>5</xdr:col>
      <xdr:colOff>554492</xdr:colOff>
      <xdr:row>84</xdr:row>
      <xdr:rowOff>129042</xdr:rowOff>
    </xdr:to>
    <xdr:graphicFrame macro="">
      <xdr:nvGraphicFramePr>
        <xdr:cNvPr id="57" name="Chart 3">
          <a:extLst>
            <a:ext uri="{FF2B5EF4-FFF2-40B4-BE49-F238E27FC236}">
              <a16:creationId xmlns:a16="http://schemas.microsoft.com/office/drawing/2014/main" id="{9A2D372F-FBF2-CDD9-5AF2-97DAFD232178}"/>
            </a:ext>
            <a:ext uri="{147F2762-F138-4A5C-976F-8EAC2B608ADB}">
              <a16:predDERef xmlns:a16="http://schemas.microsoft.com/office/drawing/2014/main" pred="{3FC964F4-549F-1C68-4C29-E9D15D432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1113895</xdr:colOff>
      <xdr:row>5</xdr:row>
      <xdr:rowOff>91016</xdr:rowOff>
    </xdr:from>
    <xdr:to>
      <xdr:col>10</xdr:col>
      <xdr:colOff>201587</xdr:colOff>
      <xdr:row>22</xdr:row>
      <xdr:rowOff>181428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DBAF3CC-9973-E159-D614-5D2D1398D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3DDD30-AB77-45B4-9E2C-AB6C1F22CC3D}" name="Table2" displayName="Table2" ref="A2:F14" totalsRowShown="0" headerRowDxfId="15" dataDxfId="13" headerRowBorderDxfId="14">
  <autoFilter ref="A2:F14" xr:uid="{CB3DDD30-AB77-45B4-9E2C-AB6C1F22CC3D}"/>
  <tableColumns count="6">
    <tableColumn id="1" xr3:uid="{A14CF8F5-53AF-4851-AC4C-5658422D2EE9}" name="Month" dataDxfId="12"/>
    <tableColumn id="2" xr3:uid="{CEB8386D-E3F8-4179-B57A-585CDB1C2843}" name="2014" dataDxfId="11"/>
    <tableColumn id="3" xr3:uid="{A99F976B-0D36-4044-9DEA-FC7736BA1240}" name="2015" dataDxfId="10"/>
    <tableColumn id="4" xr3:uid="{858E69B6-3D3D-45C7-BFAF-181EED7275C7}" name="2016" dataDxfId="9"/>
    <tableColumn id="5" xr3:uid="{1C6D19F8-E908-411B-AEF3-472BF80267ED}" name="2017" dataDxfId="8"/>
    <tableColumn id="6" xr3:uid="{62116ECD-B477-4195-970B-DA1467689D63}" name="2018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4C9C4-AA36-4259-BB76-A880D31861EE}" name="Table1" displayName="Table1" ref="A3:D43" totalsRowShown="0" headerRowDxfId="6" dataDxfId="4" headerRowBorderDxfId="5">
  <autoFilter ref="A3:D43" xr:uid="{CDD4C9C4-AA36-4259-BB76-A880D31861EE}"/>
  <tableColumns count="4">
    <tableColumn id="1" xr3:uid="{3FAABA48-2CC3-42E5-9731-5A3601990ACF}" name="YearsPLE" dataDxfId="3"/>
    <tableColumn id="2" xr3:uid="{989E813B-8779-4BFE-9720-54C9D1EADB50}" name="YrsEducation" dataDxfId="2"/>
    <tableColumn id="3" xr3:uid="{7EC2559A-C612-44BF-8794-F4B9D84A3AF5}" name="College GPA" dataDxfId="1"/>
    <tableColumn id="4" xr3:uid="{293111B2-F9DB-43BC-A2E6-FFCCD0FEFAD0}" name="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C1B9-1FA6-4BFB-A73C-7DA667B6B1BE}">
  <dimension ref="B2:B6"/>
  <sheetViews>
    <sheetView workbookViewId="0">
      <selection activeCell="D8" sqref="D8"/>
    </sheetView>
  </sheetViews>
  <sheetFormatPr baseColWidth="10" defaultColWidth="8.83203125" defaultRowHeight="16" x14ac:dyDescent="0.2"/>
  <sheetData>
    <row r="2" spans="2:2" x14ac:dyDescent="0.2">
      <c r="B2" s="38" t="s">
        <v>73</v>
      </c>
    </row>
    <row r="3" spans="2:2" x14ac:dyDescent="0.2">
      <c r="B3" t="s">
        <v>74</v>
      </c>
    </row>
    <row r="4" spans="2:2" x14ac:dyDescent="0.2">
      <c r="B4" t="s">
        <v>77</v>
      </c>
    </row>
    <row r="5" spans="2:2" x14ac:dyDescent="0.2">
      <c r="B5" t="s">
        <v>75</v>
      </c>
    </row>
    <row r="6" spans="2:2" x14ac:dyDescent="0.2">
      <c r="B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DAB5-20B6-AF4A-AD5D-3EF285FD44E4}">
  <dimension ref="A1:AL77"/>
  <sheetViews>
    <sheetView tabSelected="1" zoomScale="75" workbookViewId="0">
      <selection activeCell="M50" sqref="M50"/>
    </sheetView>
  </sheetViews>
  <sheetFormatPr baseColWidth="10" defaultColWidth="11.1640625" defaultRowHeight="16" x14ac:dyDescent="0.2"/>
  <cols>
    <col min="17" max="17" width="11.1640625" bestFit="1" customWidth="1"/>
    <col min="21" max="21" width="11.1640625" style="42"/>
    <col min="27" max="27" width="123.6640625" customWidth="1"/>
  </cols>
  <sheetData>
    <row r="1" spans="1:36" x14ac:dyDescent="0.2">
      <c r="A1" s="1" t="s">
        <v>0</v>
      </c>
      <c r="B1" s="2"/>
      <c r="C1" s="3"/>
      <c r="D1" s="3"/>
      <c r="E1" s="3"/>
      <c r="F1" s="3"/>
      <c r="Y1" s="44" t="s">
        <v>71</v>
      </c>
      <c r="Z1" s="44"/>
      <c r="AA1" s="44"/>
      <c r="AB1" s="44"/>
      <c r="AC1" s="44"/>
      <c r="AD1" s="44"/>
    </row>
    <row r="2" spans="1:36" ht="17" thickBot="1" x14ac:dyDescent="0.25">
      <c r="A2" s="4" t="s">
        <v>1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Y2" s="12" t="s">
        <v>18</v>
      </c>
      <c r="AB2" t="s">
        <v>78</v>
      </c>
      <c r="AC2" t="s">
        <v>79</v>
      </c>
    </row>
    <row r="3" spans="1:36" ht="17" thickTop="1" x14ac:dyDescent="0.2">
      <c r="A3" s="5" t="s">
        <v>3</v>
      </c>
      <c r="B3" s="3">
        <v>812</v>
      </c>
      <c r="C3" s="3">
        <v>828</v>
      </c>
      <c r="D3" s="3">
        <v>824</v>
      </c>
      <c r="E3" s="3">
        <v>682</v>
      </c>
      <c r="F3" s="3">
        <v>571</v>
      </c>
      <c r="Y3" s="11">
        <v>812</v>
      </c>
      <c r="AB3" s="9">
        <v>812</v>
      </c>
      <c r="AC3">
        <v>812</v>
      </c>
    </row>
    <row r="4" spans="1:36" x14ac:dyDescent="0.2">
      <c r="A4" s="5" t="s">
        <v>5</v>
      </c>
      <c r="B4" s="3">
        <v>810</v>
      </c>
      <c r="C4" s="3">
        <v>832</v>
      </c>
      <c r="D4" s="3">
        <v>836</v>
      </c>
      <c r="E4" s="3">
        <v>695</v>
      </c>
      <c r="F4" s="3">
        <v>575</v>
      </c>
      <c r="Y4" s="11">
        <v>810</v>
      </c>
      <c r="AB4" s="9">
        <v>810</v>
      </c>
      <c r="AC4">
        <v>810</v>
      </c>
    </row>
    <row r="5" spans="1:36" x14ac:dyDescent="0.2">
      <c r="A5" s="5" t="s">
        <v>7</v>
      </c>
      <c r="B5" s="3">
        <v>813</v>
      </c>
      <c r="C5" s="3">
        <v>847</v>
      </c>
      <c r="D5" s="3">
        <v>818</v>
      </c>
      <c r="E5" s="3">
        <v>692</v>
      </c>
      <c r="F5" s="3">
        <v>547</v>
      </c>
      <c r="Y5" s="11">
        <v>813</v>
      </c>
      <c r="AB5" s="9">
        <v>813</v>
      </c>
      <c r="AC5">
        <v>813</v>
      </c>
      <c r="AG5" s="11"/>
    </row>
    <row r="6" spans="1:36" x14ac:dyDescent="0.2">
      <c r="A6" s="5" t="s">
        <v>8</v>
      </c>
      <c r="B6" s="3">
        <v>823</v>
      </c>
      <c r="C6" s="3">
        <v>839</v>
      </c>
      <c r="D6" s="3">
        <v>825</v>
      </c>
      <c r="E6" s="3">
        <v>686</v>
      </c>
      <c r="F6" s="3">
        <v>542</v>
      </c>
      <c r="Y6" s="11">
        <v>823</v>
      </c>
      <c r="AB6" s="9">
        <v>823</v>
      </c>
      <c r="AC6">
        <v>823</v>
      </c>
      <c r="AG6" s="11"/>
    </row>
    <row r="7" spans="1:36" x14ac:dyDescent="0.2">
      <c r="A7" s="5" t="s">
        <v>9</v>
      </c>
      <c r="B7" s="3">
        <v>832</v>
      </c>
      <c r="C7" s="3">
        <v>832</v>
      </c>
      <c r="D7" s="3">
        <v>804</v>
      </c>
      <c r="E7" s="3">
        <v>673</v>
      </c>
      <c r="F7" s="3">
        <v>532</v>
      </c>
      <c r="Y7" s="11">
        <v>832</v>
      </c>
      <c r="AB7" s="9">
        <v>832</v>
      </c>
      <c r="AC7">
        <v>832</v>
      </c>
      <c r="AG7" s="11"/>
    </row>
    <row r="8" spans="1:36" x14ac:dyDescent="0.2">
      <c r="A8" s="5" t="s">
        <v>10</v>
      </c>
      <c r="B8" s="3">
        <v>848</v>
      </c>
      <c r="C8" s="3">
        <v>840</v>
      </c>
      <c r="D8" s="3">
        <v>812</v>
      </c>
      <c r="E8" s="3">
        <v>681</v>
      </c>
      <c r="F8" s="3">
        <v>496</v>
      </c>
      <c r="Y8" s="11">
        <v>848</v>
      </c>
      <c r="AB8" s="9">
        <v>848</v>
      </c>
      <c r="AC8">
        <v>848</v>
      </c>
      <c r="AG8" s="11"/>
    </row>
    <row r="9" spans="1:36" x14ac:dyDescent="0.2">
      <c r="A9" s="5" t="s">
        <v>11</v>
      </c>
      <c r="B9" s="3">
        <v>837</v>
      </c>
      <c r="C9" s="3">
        <v>849</v>
      </c>
      <c r="D9" s="3">
        <v>806</v>
      </c>
      <c r="E9" s="3">
        <v>696</v>
      </c>
      <c r="F9" s="3">
        <v>472</v>
      </c>
      <c r="Y9" s="11">
        <v>837</v>
      </c>
      <c r="AB9" s="9">
        <v>837</v>
      </c>
      <c r="AC9">
        <v>837</v>
      </c>
      <c r="AE9" s="15" t="s">
        <v>17</v>
      </c>
    </row>
    <row r="10" spans="1:36" ht="17" thickBot="1" x14ac:dyDescent="0.25">
      <c r="A10" s="5" t="s">
        <v>12</v>
      </c>
      <c r="B10" s="3">
        <v>831</v>
      </c>
      <c r="C10" s="36">
        <v>857</v>
      </c>
      <c r="D10" s="3">
        <v>798</v>
      </c>
      <c r="E10" s="3">
        <v>688</v>
      </c>
      <c r="F10" s="3">
        <v>460</v>
      </c>
      <c r="Y10" s="11">
        <v>831</v>
      </c>
      <c r="AB10" s="9">
        <v>831</v>
      </c>
      <c r="AC10">
        <v>831</v>
      </c>
      <c r="AE10" s="4" t="s">
        <v>1</v>
      </c>
      <c r="AF10" s="4">
        <v>2014</v>
      </c>
      <c r="AG10" s="4">
        <v>2015</v>
      </c>
      <c r="AH10" s="4">
        <v>2016</v>
      </c>
      <c r="AI10" s="4">
        <v>2017</v>
      </c>
      <c r="AJ10" s="4">
        <v>2018</v>
      </c>
    </row>
    <row r="11" spans="1:36" ht="17" thickTop="1" x14ac:dyDescent="0.2">
      <c r="A11" s="5" t="s">
        <v>13</v>
      </c>
      <c r="B11" s="3">
        <v>827</v>
      </c>
      <c r="C11" s="3">
        <v>839</v>
      </c>
      <c r="D11" s="3">
        <v>804</v>
      </c>
      <c r="E11" s="3">
        <v>671</v>
      </c>
      <c r="F11" s="3">
        <v>441</v>
      </c>
      <c r="Y11" s="11">
        <v>827</v>
      </c>
      <c r="AB11" s="9">
        <v>827</v>
      </c>
      <c r="AC11">
        <v>827</v>
      </c>
      <c r="AE11" s="5" t="s">
        <v>3</v>
      </c>
      <c r="AF11" s="3">
        <v>812</v>
      </c>
      <c r="AG11" s="3">
        <v>828</v>
      </c>
      <c r="AH11" s="14">
        <f t="shared" ref="AH11:AH22" si="0">1.3351*(D35)+817.33</f>
        <v>850.70749999999998</v>
      </c>
      <c r="AI11" s="14">
        <f t="shared" ref="AI11:AI22" si="1">1.3351*(E35)+817.33</f>
        <v>866.7287</v>
      </c>
      <c r="AJ11" s="14">
        <f t="shared" ref="AJ11:AJ22" si="2">1.3351*(F35)+817.33</f>
        <v>882.74990000000003</v>
      </c>
    </row>
    <row r="12" spans="1:36" x14ac:dyDescent="0.2">
      <c r="A12" s="5" t="s">
        <v>14</v>
      </c>
      <c r="B12" s="3">
        <v>838</v>
      </c>
      <c r="C12" s="3">
        <v>842</v>
      </c>
      <c r="D12" s="3">
        <v>713</v>
      </c>
      <c r="E12" s="3">
        <v>645</v>
      </c>
      <c r="F12" s="3">
        <v>445</v>
      </c>
      <c r="Y12" s="11">
        <v>838</v>
      </c>
      <c r="AB12" s="9">
        <v>838</v>
      </c>
      <c r="AC12">
        <v>838</v>
      </c>
      <c r="AE12" s="5" t="s">
        <v>5</v>
      </c>
      <c r="AF12" s="3">
        <v>810</v>
      </c>
      <c r="AG12" s="3">
        <v>832</v>
      </c>
      <c r="AH12" s="14">
        <f t="shared" si="0"/>
        <v>852.04259999999999</v>
      </c>
      <c r="AI12" s="14">
        <f t="shared" si="1"/>
        <v>868.06380000000001</v>
      </c>
      <c r="AJ12" s="14">
        <f t="shared" si="2"/>
        <v>884.08500000000004</v>
      </c>
    </row>
    <row r="13" spans="1:36" x14ac:dyDescent="0.2">
      <c r="A13" s="5" t="s">
        <v>15</v>
      </c>
      <c r="B13" s="3">
        <v>826</v>
      </c>
      <c r="C13" s="3">
        <v>828</v>
      </c>
      <c r="D13" s="3">
        <v>705</v>
      </c>
      <c r="E13" s="3">
        <v>617</v>
      </c>
      <c r="F13" s="3">
        <v>438</v>
      </c>
      <c r="Y13" s="11">
        <v>826</v>
      </c>
      <c r="AB13" s="9">
        <v>826</v>
      </c>
      <c r="AC13">
        <v>826</v>
      </c>
      <c r="AE13" s="5" t="s">
        <v>7</v>
      </c>
      <c r="AF13" s="3">
        <v>813</v>
      </c>
      <c r="AG13" s="3">
        <v>847</v>
      </c>
      <c r="AH13" s="14">
        <f t="shared" si="0"/>
        <v>853.3777</v>
      </c>
      <c r="AI13" s="14">
        <f t="shared" si="1"/>
        <v>869.39890000000003</v>
      </c>
      <c r="AJ13" s="14">
        <f t="shared" si="2"/>
        <v>885.42010000000005</v>
      </c>
    </row>
    <row r="14" spans="1:36" x14ac:dyDescent="0.2">
      <c r="A14" s="5" t="s">
        <v>16</v>
      </c>
      <c r="B14" s="3">
        <v>819</v>
      </c>
      <c r="C14" s="3">
        <v>816</v>
      </c>
      <c r="D14" s="3">
        <v>686</v>
      </c>
      <c r="E14" s="3">
        <v>603</v>
      </c>
      <c r="F14" s="3">
        <v>436</v>
      </c>
      <c r="Y14" s="11">
        <v>819</v>
      </c>
      <c r="AB14" s="9">
        <v>819</v>
      </c>
      <c r="AC14">
        <v>819</v>
      </c>
      <c r="AE14" s="5" t="s">
        <v>8</v>
      </c>
      <c r="AF14" s="3">
        <v>823</v>
      </c>
      <c r="AG14" s="3">
        <v>839</v>
      </c>
      <c r="AH14" s="14">
        <f t="shared" si="0"/>
        <v>854.71280000000002</v>
      </c>
      <c r="AI14" s="14">
        <f t="shared" si="1"/>
        <v>870.73400000000004</v>
      </c>
      <c r="AJ14" s="14">
        <f t="shared" si="2"/>
        <v>886.75520000000006</v>
      </c>
    </row>
    <row r="15" spans="1:36" x14ac:dyDescent="0.2">
      <c r="Y15" s="11">
        <v>828</v>
      </c>
      <c r="AB15" s="3">
        <v>828</v>
      </c>
      <c r="AC15">
        <v>828</v>
      </c>
      <c r="AE15" s="5" t="s">
        <v>9</v>
      </c>
      <c r="AF15" s="3">
        <v>832</v>
      </c>
      <c r="AG15" s="3">
        <v>832</v>
      </c>
      <c r="AH15" s="14">
        <f t="shared" si="0"/>
        <v>856.04790000000003</v>
      </c>
      <c r="AI15" s="14">
        <f t="shared" si="1"/>
        <v>872.06910000000005</v>
      </c>
      <c r="AJ15" s="14">
        <f t="shared" si="2"/>
        <v>888.09030000000007</v>
      </c>
    </row>
    <row r="16" spans="1:36" x14ac:dyDescent="0.2">
      <c r="Y16" s="11">
        <v>832</v>
      </c>
      <c r="AB16" s="3">
        <v>832</v>
      </c>
      <c r="AC16">
        <v>832</v>
      </c>
      <c r="AE16" s="5" t="s">
        <v>10</v>
      </c>
      <c r="AF16" s="3">
        <v>848</v>
      </c>
      <c r="AG16" s="3">
        <v>840</v>
      </c>
      <c r="AH16" s="14">
        <f t="shared" si="0"/>
        <v>857.38300000000004</v>
      </c>
      <c r="AI16" s="14">
        <f t="shared" si="1"/>
        <v>873.40420000000006</v>
      </c>
      <c r="AJ16" s="14">
        <f t="shared" si="2"/>
        <v>889.42540000000008</v>
      </c>
    </row>
    <row r="17" spans="1:38" x14ac:dyDescent="0.2">
      <c r="Y17" s="11">
        <v>847</v>
      </c>
      <c r="AB17" s="3">
        <v>847</v>
      </c>
      <c r="AC17">
        <v>847</v>
      </c>
      <c r="AE17" s="5" t="s">
        <v>11</v>
      </c>
      <c r="AF17" s="3">
        <v>837</v>
      </c>
      <c r="AG17" s="3">
        <v>849</v>
      </c>
      <c r="AH17" s="14">
        <f t="shared" si="0"/>
        <v>858.71810000000005</v>
      </c>
      <c r="AI17" s="14">
        <f t="shared" si="1"/>
        <v>874.73930000000007</v>
      </c>
      <c r="AJ17" s="14">
        <f t="shared" si="2"/>
        <v>890.76050000000009</v>
      </c>
    </row>
    <row r="18" spans="1:38" x14ac:dyDescent="0.2">
      <c r="Y18" s="11">
        <v>839</v>
      </c>
      <c r="AB18" s="3">
        <v>839</v>
      </c>
      <c r="AC18">
        <v>839</v>
      </c>
      <c r="AE18" s="5" t="s">
        <v>12</v>
      </c>
      <c r="AF18" s="3">
        <v>831</v>
      </c>
      <c r="AG18" s="14">
        <f>1.3351*(C42)+817.33</f>
        <v>844.03200000000004</v>
      </c>
      <c r="AH18" s="14">
        <f t="shared" si="0"/>
        <v>860.05320000000006</v>
      </c>
      <c r="AI18" s="14">
        <f t="shared" si="1"/>
        <v>876.07440000000008</v>
      </c>
      <c r="AJ18" s="14">
        <f t="shared" si="2"/>
        <v>892.09559999999999</v>
      </c>
    </row>
    <row r="19" spans="1:38" x14ac:dyDescent="0.2">
      <c r="Y19" s="11">
        <v>832</v>
      </c>
      <c r="AB19" s="3">
        <v>832</v>
      </c>
      <c r="AC19">
        <v>832</v>
      </c>
      <c r="AE19" s="5" t="s">
        <v>13</v>
      </c>
      <c r="AF19" s="3">
        <v>827</v>
      </c>
      <c r="AG19" s="14">
        <f>1.3351*(C43)+817.33</f>
        <v>845.36710000000005</v>
      </c>
      <c r="AH19" s="14">
        <f t="shared" si="0"/>
        <v>861.38830000000007</v>
      </c>
      <c r="AI19" s="14">
        <f t="shared" si="1"/>
        <v>877.40949999999998</v>
      </c>
      <c r="AJ19" s="14">
        <f t="shared" si="2"/>
        <v>893.4307</v>
      </c>
    </row>
    <row r="20" spans="1:38" x14ac:dyDescent="0.2">
      <c r="Y20" s="11">
        <v>840</v>
      </c>
      <c r="AB20" s="3">
        <v>840</v>
      </c>
      <c r="AC20">
        <v>840</v>
      </c>
      <c r="AE20" s="5" t="s">
        <v>14</v>
      </c>
      <c r="AF20" s="3">
        <v>838</v>
      </c>
      <c r="AG20" s="14">
        <f>1.3351*(C44)+817.33</f>
        <v>846.70220000000006</v>
      </c>
      <c r="AH20" s="14">
        <f t="shared" si="0"/>
        <v>862.72340000000008</v>
      </c>
      <c r="AI20" s="14">
        <f t="shared" si="1"/>
        <v>878.74459999999999</v>
      </c>
      <c r="AJ20" s="14">
        <f t="shared" si="2"/>
        <v>894.76580000000001</v>
      </c>
    </row>
    <row r="21" spans="1:38" x14ac:dyDescent="0.2">
      <c r="Y21" s="11">
        <v>849</v>
      </c>
      <c r="AB21" s="3">
        <v>849</v>
      </c>
      <c r="AC21">
        <v>849</v>
      </c>
      <c r="AE21" s="5" t="s">
        <v>15</v>
      </c>
      <c r="AF21" s="3">
        <v>826</v>
      </c>
      <c r="AG21" s="14">
        <f>1.3351*(C45)+817.33</f>
        <v>848.03730000000007</v>
      </c>
      <c r="AH21" s="14">
        <f t="shared" si="0"/>
        <v>864.05850000000009</v>
      </c>
      <c r="AI21" s="14">
        <f t="shared" si="1"/>
        <v>880.0797</v>
      </c>
      <c r="AJ21" s="14">
        <f t="shared" si="2"/>
        <v>896.10090000000002</v>
      </c>
    </row>
    <row r="22" spans="1:38" x14ac:dyDescent="0.2">
      <c r="AB22" s="9">
        <v>840.03588315971592</v>
      </c>
      <c r="AC22">
        <v>857</v>
      </c>
      <c r="AE22" s="5" t="s">
        <v>16</v>
      </c>
      <c r="AF22" s="3">
        <v>819</v>
      </c>
      <c r="AG22" s="14">
        <f>1.3351*(C46)+817.33</f>
        <v>849.37240000000008</v>
      </c>
      <c r="AH22" s="14">
        <f t="shared" si="0"/>
        <v>865.39359999999999</v>
      </c>
      <c r="AI22" s="14">
        <f t="shared" si="1"/>
        <v>881.41480000000001</v>
      </c>
      <c r="AJ22" s="14">
        <f t="shared" si="2"/>
        <v>897.43600000000004</v>
      </c>
    </row>
    <row r="23" spans="1:38" x14ac:dyDescent="0.2">
      <c r="AB23" s="9">
        <v>840.52881018831977</v>
      </c>
      <c r="AC23">
        <v>839</v>
      </c>
    </row>
    <row r="24" spans="1:38" x14ac:dyDescent="0.2">
      <c r="W24" s="10" t="s">
        <v>2</v>
      </c>
      <c r="AB24" s="9">
        <v>840.99880190627903</v>
      </c>
      <c r="AC24">
        <v>842</v>
      </c>
    </row>
    <row r="25" spans="1:38" x14ac:dyDescent="0.2">
      <c r="W25" t="s">
        <v>4</v>
      </c>
      <c r="AB25" s="9">
        <v>841.44789806353219</v>
      </c>
      <c r="AC25">
        <v>828</v>
      </c>
      <c r="AL25" t="s">
        <v>19</v>
      </c>
    </row>
    <row r="26" spans="1:38" x14ac:dyDescent="0.2">
      <c r="W26" s="10" t="s">
        <v>6</v>
      </c>
      <c r="AB26" s="9">
        <v>841.87787784800526</v>
      </c>
      <c r="AC26">
        <v>816</v>
      </c>
      <c r="AL26" t="s">
        <v>20</v>
      </c>
    </row>
    <row r="27" spans="1:38" x14ac:dyDescent="0.2">
      <c r="W27" t="s">
        <v>60</v>
      </c>
      <c r="AB27" s="9">
        <v>842.2903024586434</v>
      </c>
      <c r="AC27">
        <v>824</v>
      </c>
    </row>
    <row r="28" spans="1:38" x14ac:dyDescent="0.2">
      <c r="AB28" s="9">
        <v>842.68654932363097</v>
      </c>
      <c r="AC28">
        <v>836</v>
      </c>
    </row>
    <row r="29" spans="1:38" x14ac:dyDescent="0.2">
      <c r="W29" t="s">
        <v>59</v>
      </c>
      <c r="AB29" s="9">
        <v>843.06783985724167</v>
      </c>
      <c r="AC29">
        <v>818</v>
      </c>
    </row>
    <row r="30" spans="1:38" x14ac:dyDescent="0.2">
      <c r="X30" t="s">
        <v>63</v>
      </c>
      <c r="AB30" s="9">
        <v>843.43526216630005</v>
      </c>
      <c r="AC30">
        <v>825</v>
      </c>
    </row>
    <row r="31" spans="1:38" x14ac:dyDescent="0.2">
      <c r="A31" s="43" t="s">
        <v>58</v>
      </c>
      <c r="B31" s="11"/>
      <c r="D31" s="11"/>
      <c r="X31" t="s">
        <v>61</v>
      </c>
      <c r="AB31" s="9">
        <v>843.78978977035331</v>
      </c>
      <c r="AC31">
        <v>804</v>
      </c>
    </row>
    <row r="32" spans="1:38" x14ac:dyDescent="0.2">
      <c r="A32" s="3"/>
      <c r="B32" s="11"/>
      <c r="D32" s="11"/>
      <c r="X32" t="s">
        <v>62</v>
      </c>
      <c r="AB32" s="9">
        <v>844.13229714693273</v>
      </c>
      <c r="AC32">
        <v>812</v>
      </c>
    </row>
    <row r="33" spans="1:29" x14ac:dyDescent="0.2">
      <c r="A33" s="30" t="s">
        <v>70</v>
      </c>
      <c r="B33" s="31"/>
      <c r="C33" s="32"/>
      <c r="D33" s="31"/>
      <c r="E33" s="32"/>
      <c r="F33" s="32"/>
      <c r="AB33" s="9">
        <v>844.46357272691341</v>
      </c>
      <c r="AC33">
        <v>806</v>
      </c>
    </row>
    <row r="34" spans="1:29" ht="17" thickBot="1" x14ac:dyDescent="0.25">
      <c r="A34" s="39" t="s">
        <v>1</v>
      </c>
      <c r="B34" s="33">
        <v>2014</v>
      </c>
      <c r="C34" s="33">
        <v>2015</v>
      </c>
      <c r="D34" s="33">
        <v>2016</v>
      </c>
      <c r="E34" s="33">
        <v>2017</v>
      </c>
      <c r="F34" s="33">
        <v>2018</v>
      </c>
      <c r="X34" s="35" t="s">
        <v>64</v>
      </c>
      <c r="AB34" s="9">
        <v>844.78432982598565</v>
      </c>
      <c r="AC34">
        <v>798</v>
      </c>
    </row>
    <row r="35" spans="1:29" ht="17" thickTop="1" x14ac:dyDescent="0.2">
      <c r="A35" s="34" t="s">
        <v>3</v>
      </c>
      <c r="B35" s="31">
        <v>1</v>
      </c>
      <c r="C35" s="31">
        <v>13</v>
      </c>
      <c r="D35" s="31">
        <v>25</v>
      </c>
      <c r="E35" s="31">
        <v>37</v>
      </c>
      <c r="F35" s="31">
        <v>49</v>
      </c>
      <c r="AB35" s="9">
        <v>845.09521589349583</v>
      </c>
      <c r="AC35">
        <v>804</v>
      </c>
    </row>
    <row r="36" spans="1:29" x14ac:dyDescent="0.2">
      <c r="A36" s="34" t="s">
        <v>5</v>
      </c>
      <c r="B36" s="31">
        <v>2</v>
      </c>
      <c r="C36" s="31">
        <v>14</v>
      </c>
      <c r="D36" s="31">
        <v>26</v>
      </c>
      <c r="E36" s="31">
        <v>38</v>
      </c>
      <c r="F36" s="31">
        <v>50</v>
      </c>
      <c r="AB36" s="9">
        <v>845.39682038019703</v>
      </c>
      <c r="AC36">
        <v>713</v>
      </c>
    </row>
    <row r="37" spans="1:29" x14ac:dyDescent="0.2">
      <c r="A37" s="34" t="s">
        <v>7</v>
      </c>
      <c r="B37" s="31">
        <v>3</v>
      </c>
      <c r="C37" s="31">
        <v>15</v>
      </c>
      <c r="D37" s="31">
        <v>27</v>
      </c>
      <c r="E37" s="31">
        <v>39</v>
      </c>
      <c r="F37" s="31">
        <v>51</v>
      </c>
      <c r="AB37" s="9">
        <v>845.68968146522752</v>
      </c>
      <c r="AC37">
        <v>705</v>
      </c>
    </row>
    <row r="38" spans="1:29" x14ac:dyDescent="0.2">
      <c r="A38" s="34" t="s">
        <v>8</v>
      </c>
      <c r="B38" s="31">
        <v>4</v>
      </c>
      <c r="C38" s="31">
        <v>16</v>
      </c>
      <c r="D38" s="31">
        <v>28</v>
      </c>
      <c r="E38" s="31">
        <v>40</v>
      </c>
      <c r="F38" s="31">
        <v>52</v>
      </c>
      <c r="AB38" s="9">
        <v>845.97429183522206</v>
      </c>
      <c r="AC38">
        <v>686</v>
      </c>
    </row>
    <row r="39" spans="1:29" x14ac:dyDescent="0.2">
      <c r="A39" s="34" t="s">
        <v>9</v>
      </c>
      <c r="B39" s="31">
        <v>5</v>
      </c>
      <c r="C39" s="31">
        <v>17</v>
      </c>
      <c r="D39" s="31">
        <v>29</v>
      </c>
      <c r="E39" s="31">
        <v>41</v>
      </c>
      <c r="F39" s="31">
        <v>53</v>
      </c>
      <c r="AB39" s="9">
        <v>846.25110367144453</v>
      </c>
      <c r="AC39">
        <v>682</v>
      </c>
    </row>
    <row r="40" spans="1:29" x14ac:dyDescent="0.2">
      <c r="A40" s="34" t="s">
        <v>10</v>
      </c>
      <c r="B40" s="31">
        <v>6</v>
      </c>
      <c r="C40" s="31">
        <v>18</v>
      </c>
      <c r="D40" s="31">
        <v>30</v>
      </c>
      <c r="E40" s="31">
        <v>42</v>
      </c>
      <c r="F40" s="31">
        <v>54</v>
      </c>
      <c r="AB40" s="9">
        <v>846.52053297171562</v>
      </c>
      <c r="AC40">
        <v>695</v>
      </c>
    </row>
    <row r="41" spans="1:29" x14ac:dyDescent="0.2">
      <c r="A41" s="34" t="s">
        <v>11</v>
      </c>
      <c r="B41" s="31">
        <v>7</v>
      </c>
      <c r="C41" s="31">
        <v>19</v>
      </c>
      <c r="D41" s="31">
        <v>31</v>
      </c>
      <c r="E41" s="31">
        <v>43</v>
      </c>
      <c r="F41" s="31">
        <v>55</v>
      </c>
      <c r="AB41" s="9">
        <v>846.78296331084778</v>
      </c>
      <c r="AC41">
        <v>692</v>
      </c>
    </row>
    <row r="42" spans="1:29" x14ac:dyDescent="0.2">
      <c r="A42" s="34" t="s">
        <v>12</v>
      </c>
      <c r="B42" s="31">
        <v>8</v>
      </c>
      <c r="C42" s="31">
        <v>20</v>
      </c>
      <c r="D42" s="31">
        <v>32</v>
      </c>
      <c r="E42" s="31">
        <v>44</v>
      </c>
      <c r="F42" s="31">
        <v>56</v>
      </c>
      <c r="AB42" s="9">
        <v>847.03874912491312</v>
      </c>
      <c r="AC42">
        <v>686</v>
      </c>
    </row>
    <row r="43" spans="1:29" x14ac:dyDescent="0.2">
      <c r="A43" s="34" t="s">
        <v>13</v>
      </c>
      <c r="B43" s="31">
        <v>9</v>
      </c>
      <c r="C43" s="31">
        <v>21</v>
      </c>
      <c r="D43" s="31">
        <v>33</v>
      </c>
      <c r="E43" s="31">
        <v>45</v>
      </c>
      <c r="F43" s="31">
        <v>57</v>
      </c>
      <c r="AB43" s="9">
        <v>847.28821858991364</v>
      </c>
      <c r="AC43">
        <v>673</v>
      </c>
    </row>
    <row r="44" spans="1:29" x14ac:dyDescent="0.2">
      <c r="A44" s="34" t="s">
        <v>14</v>
      </c>
      <c r="B44" s="31">
        <v>10</v>
      </c>
      <c r="C44" s="31">
        <v>22</v>
      </c>
      <c r="D44" s="31">
        <v>34</v>
      </c>
      <c r="E44" s="31">
        <v>46</v>
      </c>
      <c r="F44" s="31">
        <v>58</v>
      </c>
      <c r="AB44" s="9">
        <v>847.53167615351686</v>
      </c>
      <c r="AC44">
        <v>681</v>
      </c>
    </row>
    <row r="45" spans="1:29" x14ac:dyDescent="0.2">
      <c r="A45" s="34" t="s">
        <v>15</v>
      </c>
      <c r="B45" s="31">
        <v>11</v>
      </c>
      <c r="C45" s="31">
        <v>23</v>
      </c>
      <c r="D45" s="31">
        <v>35</v>
      </c>
      <c r="E45" s="31">
        <v>47</v>
      </c>
      <c r="F45" s="31">
        <v>59</v>
      </c>
      <c r="AB45" s="9">
        <v>847.76940476885204</v>
      </c>
      <c r="AC45">
        <v>696</v>
      </c>
    </row>
    <row r="46" spans="1:29" x14ac:dyDescent="0.2">
      <c r="A46" s="34" t="s">
        <v>16</v>
      </c>
      <c r="B46" s="31">
        <v>12</v>
      </c>
      <c r="C46" s="31">
        <v>24</v>
      </c>
      <c r="D46" s="31">
        <v>36</v>
      </c>
      <c r="E46" s="31">
        <v>48</v>
      </c>
      <c r="F46" s="31">
        <v>60</v>
      </c>
      <c r="AB46" s="9">
        <v>848.00166787147623</v>
      </c>
      <c r="AC46">
        <v>688</v>
      </c>
    </row>
    <row r="47" spans="1:29" x14ac:dyDescent="0.2">
      <c r="D47" s="11"/>
      <c r="AB47" s="9">
        <v>848.22871113414953</v>
      </c>
      <c r="AC47">
        <v>671</v>
      </c>
    </row>
    <row r="48" spans="1:29" x14ac:dyDescent="0.2">
      <c r="D48" s="11"/>
      <c r="AB48" s="9">
        <v>848.45076402872928</v>
      </c>
      <c r="AC48">
        <v>645</v>
      </c>
    </row>
    <row r="49" spans="1:29" x14ac:dyDescent="0.2">
      <c r="D49" s="11"/>
      <c r="AB49" s="9">
        <v>848.6680412200767</v>
      </c>
      <c r="AC49">
        <v>617</v>
      </c>
    </row>
    <row r="50" spans="1:29" x14ac:dyDescent="0.2">
      <c r="D50" s="11"/>
      <c r="AB50" s="9">
        <v>848.88074381320246</v>
      </c>
      <c r="AC50">
        <v>603</v>
      </c>
    </row>
    <row r="51" spans="1:29" x14ac:dyDescent="0.2">
      <c r="A51" s="20"/>
      <c r="AB51" s="9">
        <v>849.08906047181165</v>
      </c>
      <c r="AC51">
        <v>571</v>
      </c>
    </row>
    <row r="52" spans="1:29" x14ac:dyDescent="0.2">
      <c r="AB52" s="9">
        <v>849.2931684238406</v>
      </c>
      <c r="AC52">
        <v>575</v>
      </c>
    </row>
    <row r="53" spans="1:29" x14ac:dyDescent="0.2">
      <c r="A53" t="s">
        <v>80</v>
      </c>
      <c r="AB53" s="9">
        <v>849.49323436741383</v>
      </c>
      <c r="AC53">
        <v>547</v>
      </c>
    </row>
    <row r="54" spans="1:29" ht="17" thickBot="1" x14ac:dyDescent="0.25">
      <c r="A54" s="4" t="s">
        <v>1</v>
      </c>
      <c r="B54" s="4">
        <v>2014</v>
      </c>
      <c r="C54" s="4">
        <v>2015</v>
      </c>
      <c r="D54" s="4">
        <v>2016</v>
      </c>
      <c r="E54" s="4">
        <v>2017</v>
      </c>
      <c r="F54" s="4">
        <v>2018</v>
      </c>
      <c r="AB54" s="9">
        <v>849.68941528882817</v>
      </c>
      <c r="AC54">
        <v>542</v>
      </c>
    </row>
    <row r="55" spans="1:29" ht="17" thickTop="1" x14ac:dyDescent="0.2">
      <c r="A55" s="5" t="s">
        <v>3</v>
      </c>
      <c r="B55" s="3">
        <v>812</v>
      </c>
      <c r="C55" s="3">
        <v>828</v>
      </c>
      <c r="D55" s="14">
        <f t="shared" ref="D55:F66" si="3">10.103*LN(D35)+809.77</f>
        <v>842.2903024586434</v>
      </c>
      <c r="E55" s="14">
        <f t="shared" si="3"/>
        <v>846.25110367144453</v>
      </c>
      <c r="F55" s="14">
        <f t="shared" si="3"/>
        <v>849.08906047181165</v>
      </c>
      <c r="AB55" s="9">
        <v>849.88185920261708</v>
      </c>
      <c r="AC55">
        <v>532</v>
      </c>
    </row>
    <row r="56" spans="1:29" x14ac:dyDescent="0.2">
      <c r="A56" s="5" t="s">
        <v>5</v>
      </c>
      <c r="B56" s="3">
        <v>810</v>
      </c>
      <c r="C56" s="3">
        <v>832</v>
      </c>
      <c r="D56" s="14">
        <f t="shared" si="3"/>
        <v>842.68654932363097</v>
      </c>
      <c r="E56" s="14">
        <f t="shared" si="3"/>
        <v>846.52053297171562</v>
      </c>
      <c r="F56" s="14">
        <f t="shared" si="3"/>
        <v>849.2931684238406</v>
      </c>
      <c r="AB56" s="9">
        <v>850.07070582243887</v>
      </c>
      <c r="AC56">
        <v>496</v>
      </c>
    </row>
    <row r="57" spans="1:29" x14ac:dyDescent="0.2">
      <c r="A57" s="5" t="s">
        <v>7</v>
      </c>
      <c r="B57" s="3">
        <v>813</v>
      </c>
      <c r="C57" s="3">
        <v>847</v>
      </c>
      <c r="D57" s="14">
        <f t="shared" si="3"/>
        <v>843.06783985724167</v>
      </c>
      <c r="E57" s="14">
        <f t="shared" si="3"/>
        <v>846.78296331084778</v>
      </c>
      <c r="F57" s="14">
        <f t="shared" si="3"/>
        <v>849.49323436741383</v>
      </c>
      <c r="AB57" s="9">
        <v>850.25608717040359</v>
      </c>
      <c r="AC57">
        <v>472</v>
      </c>
    </row>
    <row r="58" spans="1:29" x14ac:dyDescent="0.2">
      <c r="A58" s="5" t="s">
        <v>8</v>
      </c>
      <c r="B58" s="3">
        <v>823</v>
      </c>
      <c r="C58" s="3">
        <v>839</v>
      </c>
      <c r="D58" s="14">
        <f t="shared" si="3"/>
        <v>843.43526216630005</v>
      </c>
      <c r="E58" s="14">
        <f t="shared" si="3"/>
        <v>847.03874912491312</v>
      </c>
      <c r="F58" s="14">
        <f t="shared" si="3"/>
        <v>849.68941528882817</v>
      </c>
      <c r="AB58" s="9">
        <v>850.43812813149725</v>
      </c>
      <c r="AC58">
        <v>460</v>
      </c>
    </row>
    <row r="59" spans="1:29" x14ac:dyDescent="0.2">
      <c r="A59" s="5" t="s">
        <v>9</v>
      </c>
      <c r="B59" s="3">
        <v>832</v>
      </c>
      <c r="C59" s="3">
        <v>832</v>
      </c>
      <c r="D59" s="14">
        <f t="shared" si="3"/>
        <v>843.78978977035331</v>
      </c>
      <c r="E59" s="14">
        <f t="shared" si="3"/>
        <v>847.28821858991364</v>
      </c>
      <c r="F59" s="14">
        <f t="shared" si="3"/>
        <v>849.88185920261708</v>
      </c>
      <c r="AB59" s="9">
        <v>850.61694695893243</v>
      </c>
      <c r="AC59">
        <v>441</v>
      </c>
    </row>
    <row r="60" spans="1:29" x14ac:dyDescent="0.2">
      <c r="A60" s="5" t="s">
        <v>10</v>
      </c>
      <c r="B60" s="3">
        <v>848</v>
      </c>
      <c r="C60" s="3">
        <v>840</v>
      </c>
      <c r="D60" s="14">
        <f t="shared" si="3"/>
        <v>844.13229714693273</v>
      </c>
      <c r="E60" s="14">
        <f t="shared" si="3"/>
        <v>847.53167615351686</v>
      </c>
      <c r="F60" s="14">
        <f t="shared" si="3"/>
        <v>850.07070582243887</v>
      </c>
      <c r="AB60" s="9">
        <v>850.7926557355504</v>
      </c>
      <c r="AC60">
        <v>445</v>
      </c>
    </row>
    <row r="61" spans="1:29" x14ac:dyDescent="0.2">
      <c r="A61" s="5" t="s">
        <v>11</v>
      </c>
      <c r="B61" s="3">
        <v>837</v>
      </c>
      <c r="C61" s="3">
        <v>849</v>
      </c>
      <c r="D61" s="14">
        <f t="shared" si="3"/>
        <v>844.46357272691341</v>
      </c>
      <c r="E61" s="14">
        <f t="shared" si="3"/>
        <v>847.76940476885204</v>
      </c>
      <c r="F61" s="14">
        <f t="shared" si="3"/>
        <v>850.25608717040359</v>
      </c>
      <c r="AB61" s="9">
        <v>850.96536079577947</v>
      </c>
      <c r="AC61">
        <v>438</v>
      </c>
    </row>
    <row r="62" spans="1:29" x14ac:dyDescent="0.2">
      <c r="A62" s="5" t="s">
        <v>12</v>
      </c>
      <c r="B62" s="3">
        <v>831</v>
      </c>
      <c r="C62" s="13">
        <f>10.103*LN(C42)+809.77</f>
        <v>840.03588315971592</v>
      </c>
      <c r="D62" s="14">
        <f t="shared" si="3"/>
        <v>844.78432982598565</v>
      </c>
      <c r="E62" s="14">
        <f t="shared" si="3"/>
        <v>848.00166787147623</v>
      </c>
      <c r="F62" s="14">
        <f t="shared" si="3"/>
        <v>850.43812813149725</v>
      </c>
      <c r="AB62" s="9">
        <v>851.13516311212982</v>
      </c>
      <c r="AC62">
        <v>436</v>
      </c>
    </row>
    <row r="63" spans="1:29" x14ac:dyDescent="0.2">
      <c r="A63" s="5" t="s">
        <v>13</v>
      </c>
      <c r="B63" s="3">
        <v>827</v>
      </c>
      <c r="C63" s="14">
        <f>10.103*LN(C43)+809.77</f>
        <v>840.52881018831977</v>
      </c>
      <c r="D63" s="14">
        <f t="shared" si="3"/>
        <v>845.09521589349583</v>
      </c>
      <c r="E63" s="14">
        <f t="shared" si="3"/>
        <v>848.22871113414953</v>
      </c>
      <c r="F63" s="14">
        <f t="shared" si="3"/>
        <v>850.61694695893243</v>
      </c>
    </row>
    <row r="64" spans="1:29" x14ac:dyDescent="0.2">
      <c r="A64" s="5" t="s">
        <v>14</v>
      </c>
      <c r="B64" s="3">
        <v>838</v>
      </c>
      <c r="C64" s="13">
        <f>10.103*LN(C44)+809.77</f>
        <v>840.99880190627903</v>
      </c>
      <c r="D64" s="14">
        <f t="shared" si="3"/>
        <v>845.39682038019703</v>
      </c>
      <c r="E64" s="14">
        <f t="shared" si="3"/>
        <v>848.45076402872928</v>
      </c>
      <c r="F64" s="14">
        <f t="shared" si="3"/>
        <v>850.7926557355504</v>
      </c>
    </row>
    <row r="65" spans="1:17" x14ac:dyDescent="0.2">
      <c r="A65" s="5" t="s">
        <v>15</v>
      </c>
      <c r="B65" s="3">
        <v>826</v>
      </c>
      <c r="C65" s="14">
        <f>10.103*LN(C45)+809.77</f>
        <v>841.44789806353219</v>
      </c>
      <c r="D65" s="14">
        <f t="shared" si="3"/>
        <v>845.68968146522752</v>
      </c>
      <c r="E65" s="14">
        <f t="shared" si="3"/>
        <v>848.6680412200767</v>
      </c>
      <c r="F65" s="14">
        <f t="shared" si="3"/>
        <v>850.96536079577947</v>
      </c>
    </row>
    <row r="66" spans="1:17" x14ac:dyDescent="0.2">
      <c r="A66" s="5" t="s">
        <v>16</v>
      </c>
      <c r="B66" s="3">
        <v>819</v>
      </c>
      <c r="C66" s="14">
        <f>10.103*LN(C46)+809.77</f>
        <v>841.87787784800526</v>
      </c>
      <c r="D66" s="14">
        <f t="shared" si="3"/>
        <v>845.97429183522206</v>
      </c>
      <c r="E66" s="14">
        <f t="shared" si="3"/>
        <v>848.88074381320246</v>
      </c>
      <c r="F66" s="14">
        <f t="shared" si="3"/>
        <v>851.13516311212982</v>
      </c>
    </row>
    <row r="67" spans="1:17" x14ac:dyDescent="0.2">
      <c r="D67" s="11"/>
    </row>
    <row r="68" spans="1:17" x14ac:dyDescent="0.2">
      <c r="D68" s="11"/>
    </row>
    <row r="69" spans="1:17" x14ac:dyDescent="0.2">
      <c r="D69" s="11"/>
    </row>
    <row r="70" spans="1:17" x14ac:dyDescent="0.2">
      <c r="D70" s="11"/>
    </row>
    <row r="71" spans="1:17" x14ac:dyDescent="0.2">
      <c r="D71" s="11"/>
    </row>
    <row r="72" spans="1:17" x14ac:dyDescent="0.2">
      <c r="D72" s="11"/>
    </row>
    <row r="73" spans="1:17" x14ac:dyDescent="0.2">
      <c r="D73" s="11"/>
    </row>
    <row r="77" spans="1:17" x14ac:dyDescent="0.2">
      <c r="Q77" s="29"/>
    </row>
  </sheetData>
  <mergeCells count="1">
    <mergeCell ref="Y1:AD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4E6D-2487-E446-AB29-A408DD5DBE2C}">
  <dimension ref="A1:N51"/>
  <sheetViews>
    <sheetView zoomScale="88" workbookViewId="0">
      <selection activeCell="F31" sqref="F31"/>
    </sheetView>
  </sheetViews>
  <sheetFormatPr baseColWidth="10" defaultColWidth="11.1640625" defaultRowHeight="16" x14ac:dyDescent="0.2"/>
  <cols>
    <col min="1" max="1" width="12.6640625" customWidth="1"/>
    <col min="2" max="2" width="16.1640625" bestFit="1" customWidth="1"/>
    <col min="3" max="3" width="15.33203125" bestFit="1" customWidth="1"/>
    <col min="5" max="5" width="13.6640625" customWidth="1"/>
    <col min="7" max="7" width="12" bestFit="1" customWidth="1"/>
    <col min="9" max="9" width="12" bestFit="1" customWidth="1"/>
    <col min="11" max="11" width="12" bestFit="1" customWidth="1"/>
    <col min="13" max="13" width="12" bestFit="1" customWidth="1"/>
  </cols>
  <sheetData>
    <row r="1" spans="1:13" x14ac:dyDescent="0.2">
      <c r="A1" s="1" t="s">
        <v>21</v>
      </c>
      <c r="B1" s="1"/>
      <c r="C1" s="1"/>
      <c r="D1" s="3"/>
      <c r="E1" s="16"/>
      <c r="F1" s="16"/>
      <c r="G1" s="16"/>
      <c r="H1" s="11"/>
      <c r="I1" s="11"/>
      <c r="J1" s="11"/>
      <c r="K1" s="11"/>
    </row>
    <row r="2" spans="1:13" x14ac:dyDescent="0.2">
      <c r="A2" s="3"/>
      <c r="B2" s="3"/>
      <c r="C2" s="3"/>
      <c r="D2" s="3"/>
      <c r="E2" s="11"/>
      <c r="F2" s="11"/>
      <c r="G2" s="11"/>
      <c r="H2" s="11"/>
      <c r="I2" s="11"/>
      <c r="J2" s="11"/>
      <c r="K2" s="11"/>
    </row>
    <row r="3" spans="1:13" x14ac:dyDescent="0.2">
      <c r="A3" s="6" t="s">
        <v>22</v>
      </c>
      <c r="B3" s="6" t="s">
        <v>23</v>
      </c>
      <c r="C3" s="6" t="s">
        <v>24</v>
      </c>
      <c r="D3" s="6" t="s">
        <v>25</v>
      </c>
      <c r="E3" s="21"/>
      <c r="F3" s="22" t="s">
        <v>26</v>
      </c>
      <c r="G3" s="21"/>
      <c r="H3" s="21"/>
      <c r="I3" s="22"/>
      <c r="J3" s="22"/>
      <c r="K3" s="22"/>
      <c r="M3" s="19"/>
    </row>
    <row r="4" spans="1:13" x14ac:dyDescent="0.2">
      <c r="A4" s="3">
        <v>10</v>
      </c>
      <c r="B4" s="3">
        <v>18</v>
      </c>
      <c r="C4" s="7">
        <v>3.01</v>
      </c>
      <c r="D4" s="3">
        <v>33</v>
      </c>
      <c r="E4" s="11"/>
      <c r="F4" t="s">
        <v>27</v>
      </c>
      <c r="G4" s="17"/>
      <c r="H4" s="11"/>
      <c r="I4" s="18"/>
      <c r="J4" s="18"/>
      <c r="K4" s="18"/>
    </row>
    <row r="5" spans="1:13" x14ac:dyDescent="0.2">
      <c r="A5" s="3">
        <v>10</v>
      </c>
      <c r="B5" s="3">
        <v>16</v>
      </c>
      <c r="C5" s="7">
        <v>2.78</v>
      </c>
      <c r="D5" s="3">
        <v>25</v>
      </c>
      <c r="E5" s="11"/>
      <c r="F5" s="11"/>
      <c r="G5" s="17"/>
      <c r="H5" s="11"/>
      <c r="I5" s="18"/>
      <c r="J5" s="18"/>
      <c r="K5" s="18"/>
    </row>
    <row r="6" spans="1:13" x14ac:dyDescent="0.2">
      <c r="A6" s="3">
        <v>10</v>
      </c>
      <c r="B6" s="3">
        <v>18</v>
      </c>
      <c r="C6" s="7">
        <v>3.15</v>
      </c>
      <c r="D6" s="3">
        <v>26</v>
      </c>
      <c r="E6" s="11"/>
      <c r="F6" s="11"/>
      <c r="G6" s="17"/>
      <c r="H6" s="11"/>
      <c r="I6" s="18"/>
      <c r="J6" s="18"/>
      <c r="K6" s="18"/>
    </row>
    <row r="7" spans="1:13" x14ac:dyDescent="0.2">
      <c r="A7" s="3">
        <v>10</v>
      </c>
      <c r="B7" s="3">
        <v>18</v>
      </c>
      <c r="C7" s="7">
        <v>3.86</v>
      </c>
      <c r="D7" s="3">
        <v>24</v>
      </c>
      <c r="E7" s="11"/>
      <c r="F7" t="s">
        <v>28</v>
      </c>
    </row>
    <row r="8" spans="1:13" x14ac:dyDescent="0.2">
      <c r="A8" s="3">
        <v>9.6</v>
      </c>
      <c r="B8" s="3">
        <v>16</v>
      </c>
      <c r="C8" s="7">
        <v>2.58</v>
      </c>
      <c r="D8" s="3">
        <v>25</v>
      </c>
      <c r="E8" s="11"/>
    </row>
    <row r="9" spans="1:13" x14ac:dyDescent="0.2">
      <c r="A9" s="3">
        <v>8.5</v>
      </c>
      <c r="B9" s="3">
        <v>16</v>
      </c>
      <c r="C9" s="7">
        <v>2.96</v>
      </c>
      <c r="D9" s="3">
        <v>23</v>
      </c>
      <c r="E9" s="11"/>
      <c r="F9" s="24" t="s">
        <v>29</v>
      </c>
      <c r="G9" s="24"/>
    </row>
    <row r="10" spans="1:13" x14ac:dyDescent="0.2">
      <c r="A10" s="3">
        <v>8.4</v>
      </c>
      <c r="B10" s="3">
        <v>17</v>
      </c>
      <c r="C10" s="7">
        <v>3.56</v>
      </c>
      <c r="D10" s="3">
        <v>35</v>
      </c>
      <c r="E10" s="11"/>
      <c r="F10" t="s">
        <v>30</v>
      </c>
      <c r="G10">
        <v>0.38755990145551467</v>
      </c>
    </row>
    <row r="11" spans="1:13" x14ac:dyDescent="0.2">
      <c r="A11" s="3">
        <v>8.4</v>
      </c>
      <c r="B11" s="3">
        <v>16</v>
      </c>
      <c r="C11" s="7">
        <v>2.64</v>
      </c>
      <c r="D11" s="3">
        <v>23</v>
      </c>
      <c r="E11" s="11"/>
      <c r="F11" t="s">
        <v>31</v>
      </c>
      <c r="G11">
        <v>0.15020267721620825</v>
      </c>
    </row>
    <row r="12" spans="1:13" x14ac:dyDescent="0.2">
      <c r="A12" s="3">
        <v>8.1999999999999993</v>
      </c>
      <c r="B12" s="3">
        <v>18</v>
      </c>
      <c r="C12" s="7">
        <v>3.43</v>
      </c>
      <c r="D12" s="3">
        <v>32</v>
      </c>
      <c r="E12" s="11"/>
      <c r="F12" t="s">
        <v>32</v>
      </c>
      <c r="G12">
        <v>7.9386233650892271E-2</v>
      </c>
    </row>
    <row r="13" spans="1:13" x14ac:dyDescent="0.2">
      <c r="A13" s="3">
        <v>7.9</v>
      </c>
      <c r="B13" s="3">
        <v>15</v>
      </c>
      <c r="C13" s="7">
        <v>2.75</v>
      </c>
      <c r="D13" s="3">
        <v>34</v>
      </c>
      <c r="E13" s="11"/>
      <c r="F13" t="s">
        <v>33</v>
      </c>
      <c r="G13">
        <v>2.725526994132367</v>
      </c>
    </row>
    <row r="14" spans="1:13" x14ac:dyDescent="0.2">
      <c r="A14" s="3">
        <v>7.6</v>
      </c>
      <c r="B14" s="3">
        <v>13</v>
      </c>
      <c r="C14" s="7">
        <v>2.95</v>
      </c>
      <c r="D14" s="3">
        <v>28</v>
      </c>
      <c r="E14" s="11"/>
      <c r="F14" s="23" t="s">
        <v>34</v>
      </c>
      <c r="G14" s="23">
        <v>40</v>
      </c>
    </row>
    <row r="15" spans="1:13" x14ac:dyDescent="0.2">
      <c r="A15" s="3">
        <v>7.5</v>
      </c>
      <c r="B15" s="3">
        <v>13</v>
      </c>
      <c r="C15" s="7">
        <v>2.5</v>
      </c>
      <c r="D15" s="3">
        <v>23</v>
      </c>
      <c r="E15" s="11"/>
    </row>
    <row r="16" spans="1:13" x14ac:dyDescent="0.2">
      <c r="A16" s="3">
        <v>7.5</v>
      </c>
      <c r="B16" s="3">
        <v>16</v>
      </c>
      <c r="C16" s="7">
        <v>2.86</v>
      </c>
      <c r="D16" s="3">
        <v>24</v>
      </c>
      <c r="E16" s="11"/>
      <c r="F16" t="s">
        <v>35</v>
      </c>
    </row>
    <row r="17" spans="1:14" x14ac:dyDescent="0.2">
      <c r="A17" s="3">
        <v>7.2</v>
      </c>
      <c r="B17" s="3">
        <v>15</v>
      </c>
      <c r="C17" s="7">
        <v>2.38</v>
      </c>
      <c r="D17" s="3">
        <v>23</v>
      </c>
      <c r="E17" s="11"/>
      <c r="F17" s="24"/>
      <c r="G17" s="24" t="s">
        <v>36</v>
      </c>
      <c r="H17" s="24" t="s">
        <v>37</v>
      </c>
      <c r="I17" s="24" t="s">
        <v>38</v>
      </c>
      <c r="J17" s="24" t="s">
        <v>39</v>
      </c>
      <c r="K17" s="24" t="s">
        <v>40</v>
      </c>
    </row>
    <row r="18" spans="1:14" x14ac:dyDescent="0.2">
      <c r="A18" s="3">
        <v>6.8</v>
      </c>
      <c r="B18" s="3">
        <v>16</v>
      </c>
      <c r="C18" s="7">
        <v>3.47</v>
      </c>
      <c r="D18" s="3">
        <v>27</v>
      </c>
      <c r="E18" s="11"/>
      <c r="F18" t="s">
        <v>41</v>
      </c>
      <c r="G18">
        <v>3</v>
      </c>
      <c r="H18">
        <v>47.267843753208126</v>
      </c>
      <c r="I18">
        <v>15.755947917736043</v>
      </c>
      <c r="J18">
        <v>2.1210141268626708</v>
      </c>
      <c r="K18">
        <v>0.11463531207491859</v>
      </c>
    </row>
    <row r="19" spans="1:14" x14ac:dyDescent="0.2">
      <c r="A19" s="3">
        <v>6.5</v>
      </c>
      <c r="B19" s="3">
        <v>16</v>
      </c>
      <c r="C19" s="7">
        <v>3.1</v>
      </c>
      <c r="D19" s="3">
        <v>26</v>
      </c>
      <c r="E19" s="11"/>
      <c r="F19" t="s">
        <v>42</v>
      </c>
      <c r="G19">
        <v>36</v>
      </c>
      <c r="H19">
        <v>267.42590624679178</v>
      </c>
      <c r="I19">
        <v>7.4284973957442162</v>
      </c>
    </row>
    <row r="20" spans="1:14" x14ac:dyDescent="0.2">
      <c r="A20" s="3">
        <v>6.3</v>
      </c>
      <c r="B20" s="3">
        <v>13</v>
      </c>
      <c r="C20" s="7">
        <v>2.98</v>
      </c>
      <c r="D20" s="3">
        <v>21</v>
      </c>
      <c r="E20" s="11"/>
      <c r="F20" s="23" t="s">
        <v>43</v>
      </c>
      <c r="G20" s="23">
        <v>39</v>
      </c>
      <c r="H20" s="23">
        <v>314.69374999999991</v>
      </c>
      <c r="I20" s="23"/>
      <c r="J20" s="23"/>
      <c r="K20" s="23"/>
    </row>
    <row r="21" spans="1:14" x14ac:dyDescent="0.2">
      <c r="A21" s="3">
        <v>6.2</v>
      </c>
      <c r="B21" s="3">
        <v>16</v>
      </c>
      <c r="C21" s="7">
        <v>2.71</v>
      </c>
      <c r="D21" s="3">
        <v>23</v>
      </c>
      <c r="E21" s="11"/>
    </row>
    <row r="22" spans="1:14" x14ac:dyDescent="0.2">
      <c r="A22" s="3">
        <v>5.9</v>
      </c>
      <c r="B22" s="3">
        <v>13</v>
      </c>
      <c r="C22" s="7">
        <v>2.95</v>
      </c>
      <c r="D22" s="3">
        <v>20</v>
      </c>
      <c r="E22" s="11"/>
      <c r="F22" s="24"/>
      <c r="G22" s="24" t="s">
        <v>44</v>
      </c>
      <c r="H22" s="24" t="s">
        <v>33</v>
      </c>
      <c r="I22" s="24" t="s">
        <v>45</v>
      </c>
      <c r="J22" s="24" t="s">
        <v>46</v>
      </c>
      <c r="K22" s="24" t="s">
        <v>47</v>
      </c>
      <c r="L22" s="24" t="s">
        <v>48</v>
      </c>
      <c r="M22" s="24" t="s">
        <v>49</v>
      </c>
      <c r="N22" s="24" t="s">
        <v>50</v>
      </c>
    </row>
    <row r="23" spans="1:14" x14ac:dyDescent="0.2">
      <c r="A23" s="3">
        <v>5.8</v>
      </c>
      <c r="B23" s="3">
        <v>18</v>
      </c>
      <c r="C23" s="7">
        <v>3.36</v>
      </c>
      <c r="D23" s="3">
        <v>25</v>
      </c>
      <c r="E23" s="11"/>
      <c r="F23" t="s">
        <v>51</v>
      </c>
      <c r="G23">
        <v>-2.7371084597833297</v>
      </c>
      <c r="H23">
        <v>4.504149393005366</v>
      </c>
      <c r="I23">
        <v>-0.60768598484629988</v>
      </c>
      <c r="J23">
        <v>0.5472103218975185</v>
      </c>
      <c r="K23">
        <v>-11.871946823257257</v>
      </c>
      <c r="L23">
        <v>6.397729903690597</v>
      </c>
      <c r="M23">
        <v>-11.871946823257257</v>
      </c>
      <c r="N23">
        <v>6.397729903690597</v>
      </c>
    </row>
    <row r="24" spans="1:14" x14ac:dyDescent="0.2">
      <c r="A24" s="3">
        <v>5.4</v>
      </c>
      <c r="B24" s="3">
        <v>16</v>
      </c>
      <c r="C24" s="7">
        <v>2.75</v>
      </c>
      <c r="D24" s="3">
        <v>24</v>
      </c>
      <c r="E24" s="11"/>
      <c r="F24" s="12" t="s">
        <v>23</v>
      </c>
      <c r="G24">
        <v>-6.7054293763498252E-2</v>
      </c>
      <c r="H24">
        <v>0.35516469065314771</v>
      </c>
      <c r="I24">
        <v>-0.18879774799737395</v>
      </c>
      <c r="J24" s="40">
        <v>0.85131167602926672</v>
      </c>
      <c r="K24">
        <v>-0.78736167223722509</v>
      </c>
      <c r="L24">
        <v>0.65325308471022858</v>
      </c>
      <c r="M24">
        <v>-0.78736167223722509</v>
      </c>
      <c r="N24">
        <v>0.65325308471022858</v>
      </c>
    </row>
    <row r="25" spans="1:14" x14ac:dyDescent="0.2">
      <c r="A25" s="3">
        <v>5.0999999999999996</v>
      </c>
      <c r="B25" s="3">
        <v>17</v>
      </c>
      <c r="C25" s="7">
        <v>2.48</v>
      </c>
      <c r="D25" s="3">
        <v>32</v>
      </c>
      <c r="E25" s="11"/>
      <c r="F25" s="12" t="s">
        <v>24</v>
      </c>
      <c r="G25">
        <v>0.67998131933965844</v>
      </c>
      <c r="H25">
        <v>1.18355137723244</v>
      </c>
      <c r="I25">
        <v>0.57452623723838192</v>
      </c>
      <c r="J25" s="40">
        <v>0.56918481423979173</v>
      </c>
      <c r="K25">
        <v>-1.7203721286776048</v>
      </c>
      <c r="L25">
        <v>3.0803347673569217</v>
      </c>
      <c r="M25">
        <v>-1.7203721286776048</v>
      </c>
      <c r="N25">
        <v>3.0803347673569217</v>
      </c>
    </row>
    <row r="26" spans="1:14" x14ac:dyDescent="0.2">
      <c r="A26" s="3">
        <v>4.8</v>
      </c>
      <c r="B26" s="3">
        <v>14</v>
      </c>
      <c r="C26" s="7">
        <v>2.76</v>
      </c>
      <c r="D26" s="3">
        <v>28</v>
      </c>
      <c r="E26" s="11"/>
      <c r="F26" s="25" t="s">
        <v>25</v>
      </c>
      <c r="G26" s="23">
        <v>0.29153581254862271</v>
      </c>
      <c r="H26" s="23">
        <v>0.13504392677613899</v>
      </c>
      <c r="I26" s="23">
        <v>2.1588220922507593</v>
      </c>
      <c r="J26" s="41">
        <v>3.7605842582943673E-2</v>
      </c>
      <c r="K26" s="23">
        <v>1.7654034785091755E-2</v>
      </c>
      <c r="L26" s="23">
        <v>0.56541759031215366</v>
      </c>
      <c r="M26" s="23">
        <v>1.7654034785091755E-2</v>
      </c>
      <c r="N26" s="23">
        <v>0.56541759031215366</v>
      </c>
    </row>
    <row r="27" spans="1:14" x14ac:dyDescent="0.2">
      <c r="A27" s="3">
        <v>4.7</v>
      </c>
      <c r="B27" s="3">
        <v>16</v>
      </c>
      <c r="C27" s="7">
        <v>3.12</v>
      </c>
      <c r="D27" s="3">
        <v>25</v>
      </c>
      <c r="E27" s="11"/>
    </row>
    <row r="28" spans="1:14" x14ac:dyDescent="0.2">
      <c r="A28" s="3">
        <v>4.5</v>
      </c>
      <c r="B28" s="3">
        <v>13</v>
      </c>
      <c r="C28" s="7">
        <v>2.96</v>
      </c>
      <c r="D28" s="3">
        <v>23</v>
      </c>
      <c r="E28" s="11"/>
      <c r="F28" s="12" t="s">
        <v>52</v>
      </c>
    </row>
    <row r="29" spans="1:14" x14ac:dyDescent="0.2">
      <c r="A29" s="3">
        <v>4.3</v>
      </c>
      <c r="B29" s="3">
        <v>16</v>
      </c>
      <c r="C29" s="7">
        <v>2.8</v>
      </c>
      <c r="D29" s="3">
        <v>25</v>
      </c>
      <c r="E29" s="11"/>
      <c r="F29" s="12" t="s">
        <v>53</v>
      </c>
    </row>
    <row r="30" spans="1:14" x14ac:dyDescent="0.2">
      <c r="A30" s="3">
        <v>4</v>
      </c>
      <c r="B30" s="3">
        <v>17</v>
      </c>
      <c r="C30" s="7">
        <v>3.57</v>
      </c>
      <c r="D30" s="3">
        <v>24</v>
      </c>
      <c r="E30" s="11"/>
      <c r="F30" s="11"/>
      <c r="G30" s="17"/>
      <c r="H30" s="11"/>
      <c r="I30" s="18"/>
      <c r="J30" s="18"/>
      <c r="K30" s="18"/>
    </row>
    <row r="31" spans="1:14" x14ac:dyDescent="0.2">
      <c r="A31" s="3">
        <v>3.9</v>
      </c>
      <c r="B31" s="3">
        <v>16</v>
      </c>
      <c r="C31" s="7">
        <v>3</v>
      </c>
      <c r="D31" s="3">
        <v>26</v>
      </c>
      <c r="E31" s="11"/>
      <c r="F31" s="11"/>
      <c r="G31" s="17"/>
      <c r="H31" s="11"/>
      <c r="I31" s="18"/>
      <c r="J31" s="18"/>
      <c r="K31" s="18"/>
    </row>
    <row r="32" spans="1:14" x14ac:dyDescent="0.2">
      <c r="A32" s="3">
        <v>3.7</v>
      </c>
      <c r="B32" s="3">
        <v>16</v>
      </c>
      <c r="C32" s="7">
        <v>2.86</v>
      </c>
      <c r="D32" s="3">
        <v>23</v>
      </c>
      <c r="E32" s="11"/>
      <c r="F32" s="11"/>
      <c r="G32" s="17"/>
      <c r="H32" s="11"/>
      <c r="I32" s="18"/>
      <c r="J32" s="18"/>
      <c r="K32" s="18"/>
    </row>
    <row r="33" spans="1:11" x14ac:dyDescent="0.2">
      <c r="A33" s="3">
        <v>3.7</v>
      </c>
      <c r="B33" s="3">
        <v>15</v>
      </c>
      <c r="C33" s="7">
        <v>3.19</v>
      </c>
      <c r="D33" s="3">
        <v>24</v>
      </c>
      <c r="E33" s="11"/>
      <c r="F33" s="11"/>
      <c r="G33" s="17"/>
      <c r="H33" s="11"/>
      <c r="I33" s="18"/>
      <c r="J33" s="18"/>
      <c r="K33" s="18"/>
    </row>
    <row r="34" spans="1:11" x14ac:dyDescent="0.2">
      <c r="A34" s="3">
        <v>3.7</v>
      </c>
      <c r="B34" s="3">
        <v>16</v>
      </c>
      <c r="C34" s="7">
        <v>3.5</v>
      </c>
      <c r="D34" s="3">
        <v>23</v>
      </c>
      <c r="E34" s="11"/>
      <c r="F34" s="11"/>
      <c r="G34" s="17"/>
      <c r="H34" s="11"/>
      <c r="I34" s="18"/>
      <c r="J34" s="18"/>
      <c r="K34" s="18"/>
    </row>
    <row r="35" spans="1:11" x14ac:dyDescent="0.2">
      <c r="A35" s="3">
        <v>3.5</v>
      </c>
      <c r="B35" s="3">
        <v>14</v>
      </c>
      <c r="C35" s="7">
        <v>2.84</v>
      </c>
      <c r="D35" s="3">
        <v>21</v>
      </c>
      <c r="E35" s="11"/>
      <c r="F35" s="11"/>
      <c r="G35" s="17"/>
      <c r="H35" s="11"/>
      <c r="I35" s="18"/>
      <c r="J35" s="18"/>
      <c r="K35" s="18"/>
    </row>
    <row r="36" spans="1:11" x14ac:dyDescent="0.2">
      <c r="A36" s="3">
        <v>3.4</v>
      </c>
      <c r="B36" s="3">
        <v>16</v>
      </c>
      <c r="C36" s="7">
        <v>3.13</v>
      </c>
      <c r="D36" s="3">
        <v>24</v>
      </c>
      <c r="E36" s="11"/>
    </row>
    <row r="37" spans="1:11" x14ac:dyDescent="0.2">
      <c r="A37" s="3">
        <v>2.5</v>
      </c>
      <c r="B37" s="3">
        <v>13</v>
      </c>
      <c r="C37" s="7">
        <v>1.75</v>
      </c>
      <c r="D37" s="3">
        <v>22</v>
      </c>
      <c r="E37" s="11"/>
    </row>
    <row r="38" spans="1:11" x14ac:dyDescent="0.2">
      <c r="A38" s="3">
        <v>1.8</v>
      </c>
      <c r="B38" s="3">
        <v>16</v>
      </c>
      <c r="C38" s="7">
        <v>2.98</v>
      </c>
      <c r="D38" s="3">
        <v>25</v>
      </c>
      <c r="E38" s="11"/>
      <c r="F38" s="28"/>
      <c r="G38" s="28"/>
    </row>
    <row r="39" spans="1:11" x14ac:dyDescent="0.2">
      <c r="A39" s="3">
        <v>1.5</v>
      </c>
      <c r="B39" s="3">
        <v>15</v>
      </c>
      <c r="C39" s="7">
        <v>2.13</v>
      </c>
      <c r="D39" s="3">
        <v>22</v>
      </c>
      <c r="E39" s="11"/>
    </row>
    <row r="40" spans="1:11" x14ac:dyDescent="0.2">
      <c r="A40" s="3">
        <v>0.9</v>
      </c>
      <c r="B40" s="3">
        <v>16</v>
      </c>
      <c r="C40" s="7">
        <v>2.79</v>
      </c>
      <c r="D40" s="3">
        <v>23</v>
      </c>
      <c r="E40" s="11"/>
    </row>
    <row r="41" spans="1:11" x14ac:dyDescent="0.2">
      <c r="A41" s="3">
        <v>0.8</v>
      </c>
      <c r="B41" s="3">
        <v>18</v>
      </c>
      <c r="C41" s="7">
        <v>3.15</v>
      </c>
      <c r="D41" s="3">
        <v>26</v>
      </c>
      <c r="E41" s="11"/>
    </row>
    <row r="42" spans="1:11" x14ac:dyDescent="0.2">
      <c r="A42" s="3">
        <v>0.7</v>
      </c>
      <c r="B42" s="3">
        <v>13</v>
      </c>
      <c r="C42" s="7">
        <v>1.84</v>
      </c>
      <c r="D42" s="3">
        <v>22</v>
      </c>
      <c r="E42" s="11"/>
    </row>
    <row r="43" spans="1:11" x14ac:dyDescent="0.2">
      <c r="A43" s="3">
        <v>0.3</v>
      </c>
      <c r="B43" s="3">
        <v>18</v>
      </c>
      <c r="C43" s="7">
        <v>3.79</v>
      </c>
      <c r="D43" s="3">
        <v>24</v>
      </c>
      <c r="E43" s="11"/>
    </row>
    <row r="46" spans="1:11" x14ac:dyDescent="0.2">
      <c r="F46" s="28"/>
      <c r="G46" s="28"/>
      <c r="H46" s="28"/>
      <c r="I46" s="28"/>
      <c r="J46" s="28"/>
      <c r="K46" s="28"/>
    </row>
    <row r="51" spans="6:14" x14ac:dyDescent="0.2">
      <c r="F51" s="28"/>
      <c r="G51" s="28"/>
      <c r="H51" s="28"/>
      <c r="I51" s="28"/>
      <c r="J51" s="28"/>
      <c r="K51" s="28"/>
      <c r="L51" s="28"/>
      <c r="M51" s="28"/>
      <c r="N51" s="2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4CA8-4DE4-CB4C-A44D-0F66EB955B5B}">
  <dimension ref="A1:L53"/>
  <sheetViews>
    <sheetView topLeftCell="C1" zoomScale="74" workbookViewId="0">
      <selection activeCell="A3" sqref="A3:B53"/>
    </sheetView>
  </sheetViews>
  <sheetFormatPr baseColWidth="10" defaultColWidth="11.1640625" defaultRowHeight="16" x14ac:dyDescent="0.2"/>
  <cols>
    <col min="2" max="2" width="22.6640625" customWidth="1"/>
    <col min="3" max="3" width="15.33203125" customWidth="1"/>
  </cols>
  <sheetData>
    <row r="1" spans="1:4" x14ac:dyDescent="0.2">
      <c r="A1" s="1" t="s">
        <v>54</v>
      </c>
      <c r="B1" s="1"/>
    </row>
    <row r="2" spans="1:4" x14ac:dyDescent="0.2">
      <c r="A2" s="3"/>
      <c r="B2" s="3"/>
    </row>
    <row r="3" spans="1:4" ht="17" thickBot="1" x14ac:dyDescent="0.25">
      <c r="A3" s="4" t="s">
        <v>55</v>
      </c>
      <c r="B3" s="4" t="s">
        <v>56</v>
      </c>
      <c r="D3" s="27" t="s">
        <v>26</v>
      </c>
    </row>
    <row r="4" spans="1:4" ht="17" thickTop="1" x14ac:dyDescent="0.2">
      <c r="A4" s="8">
        <v>1</v>
      </c>
      <c r="B4" s="9">
        <v>65.099999999999994</v>
      </c>
      <c r="D4" t="s">
        <v>57</v>
      </c>
    </row>
    <row r="5" spans="1:4" x14ac:dyDescent="0.2">
      <c r="A5" s="8">
        <v>2</v>
      </c>
      <c r="B5" s="9">
        <v>62.3</v>
      </c>
      <c r="C5" s="26"/>
      <c r="D5" s="26"/>
    </row>
    <row r="6" spans="1:4" x14ac:dyDescent="0.2">
      <c r="A6" s="8">
        <v>3</v>
      </c>
      <c r="B6" s="9">
        <v>60.4</v>
      </c>
      <c r="C6" s="26"/>
      <c r="D6" s="26"/>
    </row>
    <row r="7" spans="1:4" x14ac:dyDescent="0.2">
      <c r="A7" s="8">
        <v>4</v>
      </c>
      <c r="B7" s="9">
        <v>58.7</v>
      </c>
      <c r="C7" s="26"/>
      <c r="D7" s="26"/>
    </row>
    <row r="8" spans="1:4" x14ac:dyDescent="0.2">
      <c r="A8" s="8">
        <v>5</v>
      </c>
      <c r="B8" s="9">
        <v>58.1</v>
      </c>
      <c r="C8" s="26"/>
      <c r="D8" s="26"/>
    </row>
    <row r="9" spans="1:4" x14ac:dyDescent="0.2">
      <c r="A9" s="8">
        <v>6</v>
      </c>
      <c r="B9" s="9">
        <v>56.9</v>
      </c>
      <c r="C9" s="26"/>
      <c r="D9" s="26"/>
    </row>
    <row r="10" spans="1:4" x14ac:dyDescent="0.2">
      <c r="A10" s="8">
        <v>7</v>
      </c>
      <c r="B10" s="9">
        <v>57</v>
      </c>
      <c r="C10" s="26"/>
      <c r="D10" s="26"/>
    </row>
    <row r="11" spans="1:4" x14ac:dyDescent="0.2">
      <c r="A11" s="8">
        <v>8</v>
      </c>
      <c r="B11" s="9">
        <v>56.5</v>
      </c>
      <c r="C11" s="26"/>
      <c r="D11" s="26"/>
    </row>
    <row r="12" spans="1:4" x14ac:dyDescent="0.2">
      <c r="A12" s="8">
        <v>9</v>
      </c>
      <c r="B12" s="9">
        <v>55.1</v>
      </c>
      <c r="C12" s="26"/>
      <c r="D12" s="26"/>
    </row>
    <row r="13" spans="1:4" x14ac:dyDescent="0.2">
      <c r="A13" s="8">
        <v>10</v>
      </c>
      <c r="B13" s="9">
        <v>54.3</v>
      </c>
      <c r="C13" s="26"/>
      <c r="D13" s="26"/>
    </row>
    <row r="14" spans="1:4" x14ac:dyDescent="0.2">
      <c r="A14" s="8">
        <v>11</v>
      </c>
      <c r="B14" s="9">
        <v>53.7</v>
      </c>
      <c r="C14" s="26"/>
      <c r="D14" s="26"/>
    </row>
    <row r="15" spans="1:4" x14ac:dyDescent="0.2">
      <c r="A15" s="8">
        <v>12</v>
      </c>
      <c r="B15" s="9">
        <v>53.2</v>
      </c>
      <c r="C15" s="26"/>
      <c r="D15" s="26"/>
    </row>
    <row r="16" spans="1:4" x14ac:dyDescent="0.2">
      <c r="A16" s="8">
        <v>13</v>
      </c>
      <c r="B16" s="9">
        <v>52.8</v>
      </c>
      <c r="C16" s="26"/>
      <c r="D16" s="26"/>
    </row>
    <row r="17" spans="1:9" x14ac:dyDescent="0.2">
      <c r="A17" s="8">
        <v>14</v>
      </c>
      <c r="B17" s="9">
        <v>52.5</v>
      </c>
      <c r="C17" s="26"/>
      <c r="D17" s="26"/>
    </row>
    <row r="18" spans="1:9" x14ac:dyDescent="0.2">
      <c r="A18" s="8">
        <v>15</v>
      </c>
      <c r="B18" s="9">
        <v>52.1</v>
      </c>
      <c r="C18" s="26"/>
      <c r="D18" s="26"/>
    </row>
    <row r="19" spans="1:9" x14ac:dyDescent="0.2">
      <c r="A19" s="8">
        <v>16</v>
      </c>
      <c r="B19" s="9">
        <v>51.8</v>
      </c>
      <c r="C19" s="26"/>
      <c r="D19" s="26"/>
    </row>
    <row r="20" spans="1:9" x14ac:dyDescent="0.2">
      <c r="A20" s="8">
        <v>17</v>
      </c>
      <c r="B20" s="9">
        <v>51.5</v>
      </c>
      <c r="C20" s="26"/>
      <c r="D20" s="26"/>
    </row>
    <row r="21" spans="1:9" x14ac:dyDescent="0.2">
      <c r="A21" s="8">
        <v>18</v>
      </c>
      <c r="B21" s="9">
        <v>51.3</v>
      </c>
      <c r="C21" s="26"/>
    </row>
    <row r="22" spans="1:9" x14ac:dyDescent="0.2">
      <c r="A22" s="8">
        <v>19</v>
      </c>
      <c r="B22" s="9">
        <v>50.9</v>
      </c>
      <c r="C22" s="26"/>
    </row>
    <row r="23" spans="1:9" x14ac:dyDescent="0.2">
      <c r="A23" s="8">
        <v>20</v>
      </c>
      <c r="B23" s="9">
        <v>50.5</v>
      </c>
      <c r="C23" s="26"/>
      <c r="D23" s="37"/>
      <c r="E23" s="37"/>
    </row>
    <row r="24" spans="1:9" x14ac:dyDescent="0.2">
      <c r="A24" s="8">
        <v>21</v>
      </c>
      <c r="B24" s="9">
        <v>50.2</v>
      </c>
      <c r="C24" s="26"/>
    </row>
    <row r="25" spans="1:9" x14ac:dyDescent="0.2">
      <c r="A25" s="8">
        <v>22</v>
      </c>
      <c r="B25" s="9">
        <v>50</v>
      </c>
      <c r="C25" s="26"/>
      <c r="D25" s="12" t="s">
        <v>72</v>
      </c>
    </row>
    <row r="26" spans="1:9" x14ac:dyDescent="0.2">
      <c r="A26" s="8">
        <v>23</v>
      </c>
      <c r="B26" s="9">
        <v>49.7</v>
      </c>
      <c r="C26" s="26"/>
    </row>
    <row r="27" spans="1:9" x14ac:dyDescent="0.2">
      <c r="A27" s="8">
        <v>24</v>
      </c>
      <c r="B27" s="9">
        <v>49.5</v>
      </c>
      <c r="C27" s="26"/>
    </row>
    <row r="28" spans="1:9" x14ac:dyDescent="0.2">
      <c r="A28" s="8">
        <v>25</v>
      </c>
      <c r="B28" s="9">
        <v>49.3</v>
      </c>
      <c r="C28" s="26"/>
    </row>
    <row r="29" spans="1:9" x14ac:dyDescent="0.2">
      <c r="A29" s="8">
        <v>26</v>
      </c>
      <c r="B29" s="9">
        <v>49.4</v>
      </c>
      <c r="C29" s="26"/>
    </row>
    <row r="30" spans="1:9" x14ac:dyDescent="0.2">
      <c r="A30" s="8">
        <v>27</v>
      </c>
      <c r="B30" s="9">
        <v>49.1</v>
      </c>
      <c r="C30" s="26"/>
    </row>
    <row r="31" spans="1:9" x14ac:dyDescent="0.2">
      <c r="A31" s="8">
        <v>28</v>
      </c>
      <c r="B31" s="9">
        <v>49</v>
      </c>
      <c r="C31" s="26"/>
      <c r="D31" s="28"/>
      <c r="E31" s="28"/>
      <c r="F31" s="28"/>
      <c r="G31" s="28"/>
      <c r="H31" s="28"/>
      <c r="I31" s="28"/>
    </row>
    <row r="32" spans="1:9" x14ac:dyDescent="0.2">
      <c r="A32" s="8">
        <v>29</v>
      </c>
      <c r="B32" s="9">
        <v>48.8</v>
      </c>
      <c r="C32" s="26"/>
    </row>
    <row r="33" spans="1:12" x14ac:dyDescent="0.2">
      <c r="A33" s="8">
        <v>30</v>
      </c>
      <c r="B33" s="9">
        <v>48.5</v>
      </c>
      <c r="C33" s="26"/>
    </row>
    <row r="34" spans="1:12" x14ac:dyDescent="0.2">
      <c r="A34" s="8">
        <v>31</v>
      </c>
      <c r="B34" s="9">
        <v>48.3</v>
      </c>
      <c r="C34" s="26"/>
    </row>
    <row r="35" spans="1:12" x14ac:dyDescent="0.2">
      <c r="A35" s="8">
        <v>32</v>
      </c>
      <c r="B35" s="9">
        <v>48.2</v>
      </c>
      <c r="C35" s="26"/>
    </row>
    <row r="36" spans="1:12" x14ac:dyDescent="0.2">
      <c r="A36" s="8">
        <v>33</v>
      </c>
      <c r="B36" s="9">
        <v>48.1</v>
      </c>
      <c r="C36" s="26"/>
      <c r="D36" s="28"/>
      <c r="E36" s="28"/>
      <c r="F36" s="28"/>
      <c r="G36" s="28"/>
      <c r="H36" s="28"/>
      <c r="I36" s="28"/>
      <c r="J36" s="28"/>
      <c r="K36" s="28"/>
      <c r="L36" s="28"/>
    </row>
    <row r="37" spans="1:12" x14ac:dyDescent="0.2">
      <c r="A37" s="8">
        <v>34</v>
      </c>
      <c r="B37" s="9">
        <v>47.9</v>
      </c>
      <c r="C37" s="26"/>
    </row>
    <row r="38" spans="1:12" x14ac:dyDescent="0.2">
      <c r="A38" s="8">
        <v>35</v>
      </c>
      <c r="B38" s="9">
        <v>47.7</v>
      </c>
      <c r="C38" s="26"/>
    </row>
    <row r="39" spans="1:12" x14ac:dyDescent="0.2">
      <c r="A39" s="8">
        <v>36</v>
      </c>
      <c r="B39" s="9">
        <v>47.6</v>
      </c>
      <c r="C39" s="26"/>
    </row>
    <row r="40" spans="1:12" x14ac:dyDescent="0.2">
      <c r="A40" s="8">
        <v>37</v>
      </c>
      <c r="B40" s="9">
        <v>47.4</v>
      </c>
      <c r="C40" s="26"/>
      <c r="D40" s="26"/>
    </row>
    <row r="41" spans="1:12" x14ac:dyDescent="0.2">
      <c r="A41" s="8">
        <v>38</v>
      </c>
      <c r="B41" s="9">
        <v>47.1</v>
      </c>
      <c r="C41" s="26"/>
      <c r="D41" s="26"/>
    </row>
    <row r="42" spans="1:12" x14ac:dyDescent="0.2">
      <c r="A42" s="8">
        <v>39</v>
      </c>
      <c r="B42" s="9">
        <v>46.9</v>
      </c>
      <c r="C42" s="26"/>
      <c r="D42" s="26"/>
    </row>
    <row r="43" spans="1:12" x14ac:dyDescent="0.2">
      <c r="A43" s="8">
        <v>40</v>
      </c>
      <c r="B43" s="9">
        <v>46.8</v>
      </c>
      <c r="C43" s="26"/>
      <c r="D43" s="26"/>
    </row>
    <row r="44" spans="1:12" x14ac:dyDescent="0.2">
      <c r="A44" s="8">
        <v>41</v>
      </c>
      <c r="B44" s="9">
        <v>46.7</v>
      </c>
      <c r="C44" s="26"/>
      <c r="D44" s="26"/>
    </row>
    <row r="45" spans="1:12" x14ac:dyDescent="0.2">
      <c r="A45" s="8">
        <v>42</v>
      </c>
      <c r="B45" s="9">
        <v>46.6</v>
      </c>
      <c r="C45" s="26"/>
      <c r="D45" s="26"/>
    </row>
    <row r="46" spans="1:12" x14ac:dyDescent="0.2">
      <c r="A46" s="8">
        <v>43</v>
      </c>
      <c r="B46" s="9">
        <v>46.5</v>
      </c>
      <c r="C46" s="26"/>
      <c r="D46" s="26"/>
    </row>
    <row r="47" spans="1:12" x14ac:dyDescent="0.2">
      <c r="A47" s="8">
        <v>44</v>
      </c>
      <c r="B47" s="9">
        <v>46.5</v>
      </c>
      <c r="C47" s="26"/>
      <c r="D47" s="26"/>
    </row>
    <row r="48" spans="1:12" x14ac:dyDescent="0.2">
      <c r="A48" s="8">
        <v>45</v>
      </c>
      <c r="B48" s="9">
        <v>46.2</v>
      </c>
      <c r="C48" s="26"/>
      <c r="D48" s="26"/>
    </row>
    <row r="49" spans="1:4" x14ac:dyDescent="0.2">
      <c r="A49" s="8">
        <v>46</v>
      </c>
      <c r="B49" s="9">
        <v>46.3</v>
      </c>
      <c r="C49" s="26"/>
      <c r="D49" s="26"/>
    </row>
    <row r="50" spans="1:4" x14ac:dyDescent="0.2">
      <c r="A50" s="8">
        <v>47</v>
      </c>
      <c r="B50" s="9">
        <v>46</v>
      </c>
      <c r="C50" s="26"/>
      <c r="D50" s="26"/>
    </row>
    <row r="51" spans="1:4" x14ac:dyDescent="0.2">
      <c r="A51" s="8">
        <v>48</v>
      </c>
      <c r="B51" s="9">
        <v>45.8</v>
      </c>
      <c r="C51" s="26"/>
      <c r="D51" s="26"/>
    </row>
    <row r="52" spans="1:4" x14ac:dyDescent="0.2">
      <c r="A52" s="8">
        <v>49</v>
      </c>
      <c r="B52" s="9">
        <v>45.7</v>
      </c>
      <c r="C52" s="26"/>
      <c r="D52" s="26"/>
    </row>
    <row r="53" spans="1:4" x14ac:dyDescent="0.2">
      <c r="A53" s="8">
        <v>50</v>
      </c>
      <c r="B53" s="9">
        <v>45.6</v>
      </c>
      <c r="C53" s="26"/>
      <c r="D53" s="26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5b71e4-9228-4c35-844d-de0809cd678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328D600E86B468C9E454BB51E3146" ma:contentTypeVersion="11" ma:contentTypeDescription="Create a new document." ma:contentTypeScope="" ma:versionID="32af44dae7fecb96a6fa1c2fbaaaef54">
  <xsd:schema xmlns:xsd="http://www.w3.org/2001/XMLSchema" xmlns:xs="http://www.w3.org/2001/XMLSchema" xmlns:p="http://schemas.microsoft.com/office/2006/metadata/properties" xmlns:ns3="c95b71e4-9228-4c35-844d-de0809cd678b" targetNamespace="http://schemas.microsoft.com/office/2006/metadata/properties" ma:root="true" ma:fieldsID="fc4325161752dbfd408c41b735f83ec9" ns3:_="">
    <xsd:import namespace="c95b71e4-9228-4c35-844d-de0809cd67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b71e4-9228-4c35-844d-de0809cd67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D7C742-CFF2-49C6-A015-D0DE56082F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935373B-80BD-4DB0-A2C4-1CADFFDD55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D01453-B938-4161-8C3B-32691F3F3290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c95b71e4-9228-4c35-844d-de0809cd678b"/>
  </ds:schemaRefs>
</ds:datastoreItem>
</file>

<file path=customXml/itemProps4.xml><?xml version="1.0" encoding="utf-8"?>
<ds:datastoreItem xmlns:ds="http://schemas.openxmlformats.org/officeDocument/2006/customXml" ds:itemID="{86C4EA17-DCF4-463D-9D02-9B9BCBA2F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b71e4-9228-4c35-844d-de0809cd6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Members</vt:lpstr>
      <vt:lpstr>Defects after Delivery</vt:lpstr>
      <vt:lpstr>Employee Retention</vt:lpstr>
      <vt:lpstr>Engines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Ambulkar, Saurabh</dc:creator>
  <cp:keywords/>
  <dc:description/>
  <cp:lastModifiedBy>Nguyen, Ivanna</cp:lastModifiedBy>
  <cp:revision/>
  <dcterms:created xsi:type="dcterms:W3CDTF">2023-10-23T23:08:33Z</dcterms:created>
  <dcterms:modified xsi:type="dcterms:W3CDTF">2025-11-11T22:52:41Z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0x010100D39328D600E86B468C9E454BB51E3146</vt:lpwstr>
  </property>
</Properties>
</file>